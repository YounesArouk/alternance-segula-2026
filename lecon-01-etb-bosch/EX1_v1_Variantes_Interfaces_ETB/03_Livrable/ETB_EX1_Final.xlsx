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alteranace\ETB_EX1_ANAS_YOUNES_AMINE\03_Livrable\"/>
    </mc:Choice>
  </mc:AlternateContent>
  <xr:revisionPtr revIDLastSave="0" documentId="13_ncr:1_{27C47F90-E972-4644-B68E-4C5120C033C3}" xr6:coauthVersionLast="47" xr6:coauthVersionMax="47" xr10:uidLastSave="{00000000-0000-0000-0000-000000000000}"/>
  <bookViews>
    <workbookView xWindow="-110" yWindow="-110" windowWidth="19420" windowHeight="10300" tabRatio="500" activeTab="4" xr2:uid="{00000000-000D-0000-FFFF-FFFF00000000}"/>
  </bookViews>
  <sheets>
    <sheet name="Variantes" sheetId="1" r:id="rId1"/>
    <sheet name="Majorites" sheetId="2" r:id="rId2"/>
    <sheet name="Ecarts" sheetId="3" r:id="rId3"/>
    <sheet name="Risques" sheetId="4" r:id="rId4"/>
    <sheet name="Lacu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17" i="3" l="1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</calcChain>
</file>

<file path=xl/sharedStrings.xml><?xml version="1.0" encoding="utf-8"?>
<sst xmlns="http://schemas.openxmlformats.org/spreadsheetml/2006/main" count="697" uniqueCount="349">
  <si>
    <t>alesage_mm</t>
  </si>
  <si>
    <t>reference_commande</t>
  </si>
  <si>
    <t>connecteur</t>
  </si>
  <si>
    <t>broche_1</t>
  </si>
  <si>
    <t>broche_2</t>
  </si>
  <si>
    <t>broche_3</t>
  </si>
  <si>
    <t>broche_4</t>
  </si>
  <si>
    <t>broche_5</t>
  </si>
  <si>
    <t>broche_6</t>
  </si>
  <si>
    <t>bride_mm</t>
  </si>
  <si>
    <t>fixation_mm</t>
  </si>
  <si>
    <t>masse_kg</t>
  </si>
  <si>
    <t>debit_max_kg_h</t>
  </si>
  <si>
    <t>sens_ouverture</t>
  </si>
  <si>
    <t>angle_debit_deg</t>
  </si>
  <si>
    <t>conditions_debit</t>
  </si>
  <si>
    <t>0280.750.148</t>
  </si>
  <si>
    <t>D261.205.358-01</t>
  </si>
  <si>
    <t>Motor -</t>
  </si>
  <si>
    <t>Poti -</t>
  </si>
  <si>
    <t>Poti +</t>
  </si>
  <si>
    <t>Motor +</t>
  </si>
  <si>
    <t>Poti 2</t>
  </si>
  <si>
    <t>Poti 1</t>
  </si>
  <si>
    <t>50 x 50</t>
  </si>
  <si>
    <t>antihoraire (vue A)</t>
  </si>
  <si>
    <t>p = 1000 mbar ; Δp = 600 ±25 mbar ; HR = 40 % ; T = 24 °C</t>
  </si>
  <si>
    <t>R1 p.2/p.3 - variante 32 mm - diamètre nominal</t>
  </si>
  <si>
    <t>R1 p.2 - Ordering Information - variante 32 mm</t>
  </si>
  <si>
    <t>R1 p.3 - Variations - colonne 32 mm - Connector</t>
  </si>
  <si>
    <t>R1 p.3 - Variations - colonne 32 mm - Pin 1/A</t>
  </si>
  <si>
    <t>R1 p.3 - Variations - colonne 32 mm - Pin 2/B</t>
  </si>
  <si>
    <t>R1 p.3 - Variations - colonne 32 mm - Pin 3/C</t>
  </si>
  <si>
    <t>R1 p.3 - Variations - colonne 32 mm - Pin 4/D</t>
  </si>
  <si>
    <t>R1 p.3 - Variations - colonne 32 mm - Pin 5/E</t>
  </si>
  <si>
    <t>R1 p.3 - Variations - colonne 32 mm - Pin 6/F</t>
  </si>
  <si>
    <t>R1 p.3 - Variations - colonne 32 mm - Flange diameter</t>
  </si>
  <si>
    <t>R1 p.3 - Variations - colonne 32 mm - Hole circle diameter</t>
  </si>
  <si>
    <t>R1 p.3 - Variations - colonne 32 mm - Weight</t>
  </si>
  <si>
    <t>R1 p.3 - Variations - colonne 32 mm - Maximum mass flow</t>
  </si>
  <si>
    <t>R1 p.3 - Opening direction + vue A p.2</t>
  </si>
  <si>
    <t>R1 p.3 - note * - angle du point de débit</t>
  </si>
  <si>
    <t>R1 p.3 - note * - conditions d'essai du débit</t>
  </si>
  <si>
    <t>RENSEIGNE</t>
  </si>
  <si>
    <t>0280.750.149</t>
  </si>
  <si>
    <t>R1 p.2/p.3 - variante 40 mm - diamètre nominal</t>
  </si>
  <si>
    <t>R1 p.2 - Ordering Information - variante 40 mm</t>
  </si>
  <si>
    <t>R1 p.3 - Variations - colonne 40 mm - Connector</t>
  </si>
  <si>
    <t>R1 p.3 - Variations - colonne 40 mm - Pin 1/A</t>
  </si>
  <si>
    <t>R1 p.3 - Variations - colonne 40 mm - Pin 2/B</t>
  </si>
  <si>
    <t>R1 p.3 - Variations - colonne 40 mm - Pin 3/C</t>
  </si>
  <si>
    <t>R1 p.3 - Variations - colonne 40 mm - Pin 4/D</t>
  </si>
  <si>
    <t>R1 p.3 - Variations - colonne 40 mm - Pin 5/E</t>
  </si>
  <si>
    <t>R1 p.3 - Variations - colonne 40 mm - Pin 6/F</t>
  </si>
  <si>
    <t>R1 p.3 - Variations - colonne 40 mm - Flange diameter</t>
  </si>
  <si>
    <t>R1 p.3 - Variations - colonne 40 mm - Hole circle diameter</t>
  </si>
  <si>
    <t>R1 p.3 - Variations - colonne 40 mm - Weight</t>
  </si>
  <si>
    <t>R1 p.3 - Variations - colonne 40 mm - Maximum mass flow</t>
  </si>
  <si>
    <t>0280.750.137</t>
  </si>
  <si>
    <t>R1 p.2/p.3 - variante 44 mm - diamètre nominal</t>
  </si>
  <si>
    <t>R1 p.2 - Ordering Information - variante 44 mm</t>
  </si>
  <si>
    <t>R1 p.3 - Variations - colonne 44 mm - Connector</t>
  </si>
  <si>
    <t>R1 p.3 - Variations - colonne 44 mm - Pin 1/A</t>
  </si>
  <si>
    <t>R1 p.3 - Variations - colonne 44 mm - Pin 2/B</t>
  </si>
  <si>
    <t>R1 p.3 - Variations - colonne 44 mm - Pin 3/C</t>
  </si>
  <si>
    <t>R1 p.3 - Variations - colonne 44 mm - Pin 4/D</t>
  </si>
  <si>
    <t>R1 p.3 - Variations - colonne 44 mm - Pin 5/E</t>
  </si>
  <si>
    <t>R1 p.3 - Variations - colonne 44 mm - Pin 6/F</t>
  </si>
  <si>
    <t>R1 p.3 - Variations - colonne 44 mm - Flange diameter</t>
  </si>
  <si>
    <t>R1 p.3 - Variations - colonne 44 mm - Hole circle diameter</t>
  </si>
  <si>
    <t>R1 p.3 - Variations - colonne 44 mm - Weight</t>
  </si>
  <si>
    <t>R1 p.3 - Variations - colonne 44 mm - débit non spécifié</t>
  </si>
  <si>
    <t>R1 p.3 - colonne 44 mm - point de débit non spécifié</t>
  </si>
  <si>
    <t>NS</t>
  </si>
  <si>
    <t>F02U.V01.171-01</t>
  </si>
  <si>
    <t>D261.205.356-01</t>
  </si>
  <si>
    <t>53 x 53</t>
  </si>
  <si>
    <t>R1 p.2/p.3 - variante 46 mm - diamètre nominal</t>
  </si>
  <si>
    <t>R1 p.2 - Ordering Information - variante 46 mm</t>
  </si>
  <si>
    <t>R1 p.3 - Variations - colonne 46 mm - Connector</t>
  </si>
  <si>
    <t>R1 p.3 - Variations - colonne 46 mm - Pin 1/A</t>
  </si>
  <si>
    <t>R1 p.3 - Variations - colonne 46 mm - Pin 2/B</t>
  </si>
  <si>
    <t>R1 p.3 - Variations - colonne 46 mm - Pin 3/C</t>
  </si>
  <si>
    <t>R1 p.3 - Variations - colonne 46 mm - Pin 4/D</t>
  </si>
  <si>
    <t>R1 p.3 - Variations - colonne 46 mm - Pin 5/E</t>
  </si>
  <si>
    <t>R1 p.3 - Variations - colonne 46 mm - Pin 6/F</t>
  </si>
  <si>
    <t>R1 p.3 - Variations - colonne 46 mm - Flange diameter</t>
  </si>
  <si>
    <t>R1 p.3 - Variations - colonne 46 mm - Hole circle diameter</t>
  </si>
  <si>
    <t>R1 p.3 - Variations - colonne 46 mm - Weight</t>
  </si>
  <si>
    <t>R1 p.3 - Variations - colonne 46 mm - Maximum mass flow</t>
  </si>
  <si>
    <t>F02U.V01.184-02</t>
  </si>
  <si>
    <t>R1 p.2/p.3 - variante 52 mm - diamètre nominal</t>
  </si>
  <si>
    <t>R1 p.2 - Ordering Information - variante 52 mm</t>
  </si>
  <si>
    <t>R1 p.3 - Variations - colonne 52 mm - Connector</t>
  </si>
  <si>
    <t>R1 p.3 - Variations - colonne 52 mm - Pin 1/A</t>
  </si>
  <si>
    <t>R1 p.3 - Variations - colonne 52 mm - Pin 2/B</t>
  </si>
  <si>
    <t>R1 p.3 - Variations - colonne 52 mm - Pin 3/C</t>
  </si>
  <si>
    <t>R1 p.3 - Variations - colonne 52 mm - Pin 4/D</t>
  </si>
  <si>
    <t>R1 p.3 - Variations - colonne 52 mm - Pin 5/E</t>
  </si>
  <si>
    <t>R1 p.3 - Variations - colonne 52 mm - Pin 6/F</t>
  </si>
  <si>
    <t>R1 p.3 - Variations - colonne 52 mm - Flange diameter</t>
  </si>
  <si>
    <t>R1 p.3 - Variations - colonne 52 mm - Hole circle diameter</t>
  </si>
  <si>
    <t>R1 p.3 - Variations - colonne 52 mm - Weight</t>
  </si>
  <si>
    <t>R1 p.3 - Variations - colonne 52 mm - débit non spécifié</t>
  </si>
  <si>
    <t>R1 p.3 - colonne 52 mm - point de débit non spécifié</t>
  </si>
  <si>
    <t>0280.750.150</t>
  </si>
  <si>
    <t>60 x 60</t>
  </si>
  <si>
    <t>R1 p.2/p.3 - variante 54 mm - diamètre nominal</t>
  </si>
  <si>
    <t>R1 p.2 - Ordering Information - variante 54 mm</t>
  </si>
  <si>
    <t>R1 p.3 - Variations - colonne 54 mm - Connector</t>
  </si>
  <si>
    <t>R1 p.3 - Variations - colonne 54 mm - Pin 1/A</t>
  </si>
  <si>
    <t>R1 p.3 - Variations - colonne 54 mm - Pin 2/B</t>
  </si>
  <si>
    <t>R1 p.3 - Variations - colonne 54 mm - Pin 3/C</t>
  </si>
  <si>
    <t>R1 p.3 - Variations - colonne 54 mm - Pin 4/D</t>
  </si>
  <si>
    <t>R1 p.3 - Variations - colonne 54 mm - Pin 5/E</t>
  </si>
  <si>
    <t>R1 p.3 - Variations - colonne 54 mm - Pin 6/F</t>
  </si>
  <si>
    <t>R1 p.3 - Variations - colonne 54 mm - Flange diameter</t>
  </si>
  <si>
    <t>R1 p.3 - Variations - colonne 54 mm - Hole circle diameter</t>
  </si>
  <si>
    <t>R1 p.3 - Variations - colonne 54 mm - Weight</t>
  </si>
  <si>
    <t>R1 p.3 - Variations - colonne 54 mm - débit non spécifié</t>
  </si>
  <si>
    <t>R1 p.3 - colonne 54 mm - point de débit non spécifié</t>
  </si>
  <si>
    <t>0280.750.151</t>
  </si>
  <si>
    <t>R1 p.2/p.3 - variante 60 mm - diamètre nominal</t>
  </si>
  <si>
    <t>R1 p.2 - Ordering Information - variante 60 mm</t>
  </si>
  <si>
    <t>R1 p.3 - Variations - colonne 60 mm - Connector</t>
  </si>
  <si>
    <t>R1 p.3 - Variations - colonne 60 mm - Pin 1/A</t>
  </si>
  <si>
    <t>R1 p.3 - Variations - colonne 60 mm - Pin 2/B</t>
  </si>
  <si>
    <t>R1 p.3 - Variations - colonne 60 mm - Pin 3/C</t>
  </si>
  <si>
    <t>R1 p.3 - Variations - colonne 60 mm - Pin 4/D</t>
  </si>
  <si>
    <t>R1 p.3 - Variations - colonne 60 mm - Pin 5/E</t>
  </si>
  <si>
    <t>R1 p.3 - Variations - colonne 60 mm - Pin 6/F</t>
  </si>
  <si>
    <t>R1 p.3 - Variations - colonne 60 mm - Flange diameter</t>
  </si>
  <si>
    <t>R1 p.3 - Variations - colonne 60 mm - Hole circle diameter</t>
  </si>
  <si>
    <t>R1 p.3 - Variations - colonne 60 mm - Weight</t>
  </si>
  <si>
    <t>R1 p.3 - Variations - colonne 60 mm - débit non spécifié</t>
  </si>
  <si>
    <t>R1 p.3 - colonne 60 mm - point de débit non spécifié</t>
  </si>
  <si>
    <t>0280.750.101</t>
  </si>
  <si>
    <t>75 x 75</t>
  </si>
  <si>
    <t>R1 p.2/p.3 - variante 82 mm - diamètre nominal</t>
  </si>
  <si>
    <t>R1 p.2 - Ordering Information - variante 82 mm</t>
  </si>
  <si>
    <t>R1 p.3 - Variations - colonne 82 mm - Connector</t>
  </si>
  <si>
    <t>R1 p.3 - Variations - colonne 82 mm - Pin 1/A</t>
  </si>
  <si>
    <t>R1 p.3 - Variations - colonne 82 mm - Pin 2/B</t>
  </si>
  <si>
    <t>R1 p.3 - Variations - colonne 82 mm - Pin 3/C</t>
  </si>
  <si>
    <t>R1 p.3 - Variations - colonne 82 mm - Pin 4/D</t>
  </si>
  <si>
    <t>R1 p.3 - Variations - colonne 82 mm - Pin 5/E</t>
  </si>
  <si>
    <t>R1 p.3 - Variations - colonne 82 mm - Pin 6/F</t>
  </si>
  <si>
    <t>R1 p.3 - Variations - colonne 82 mm - Flange diameter</t>
  </si>
  <si>
    <t>R1 p.3 - Variations - colonne 82 mm - Hole circle diameter</t>
  </si>
  <si>
    <t>R1 p.3 - Variations - colonne 82 mm - Weight</t>
  </si>
  <si>
    <t>R1 p.3 - Variations - colonne 82 mm - débit non spécifié</t>
  </si>
  <si>
    <t>R1 p.3 - colonne 82 mm - point de débit non spécifié</t>
  </si>
  <si>
    <t>Caracteristique</t>
  </si>
  <si>
    <t>Valeur</t>
  </si>
  <si>
    <t>Effectif</t>
  </si>
  <si>
    <t>Conclusion</t>
  </si>
  <si>
    <t>Synthèse gamme</t>
  </si>
  <si>
    <t>Résultat</t>
  </si>
  <si>
    <t>Interprétation</t>
  </si>
  <si>
    <t>Référence</t>
  </si>
  <si>
    <t>Connecteur</t>
  </si>
  <si>
    <t>358 : 6/8 ; 356 : 2/8</t>
  </si>
  <si>
    <t>Majorité stricte du connecteur 358</t>
  </si>
  <si>
    <t>R1 p.3</t>
  </si>
  <si>
    <t>Brochage complet</t>
  </si>
  <si>
    <t>7/8 identiques</t>
  </si>
  <si>
    <t>Exception : ETB 52 mm</t>
  </si>
  <si>
    <t>Fixation</t>
  </si>
  <si>
    <t>50 x 50 : 3/8</t>
  </si>
  <si>
    <t>Valeur la plus fréquente, sans majorité stricte</t>
  </si>
  <si>
    <t>Bride</t>
  </si>
  <si>
    <t>50 et 58 : 2/8 chacune</t>
  </si>
  <si>
    <t>Alésage</t>
  </si>
  <si>
    <t>8 valeurs différentes</t>
  </si>
  <si>
    <t>Aucune majorité</t>
  </si>
  <si>
    <t>Sens d'ouverture</t>
  </si>
  <si>
    <t>Antihoraire : 8/8</t>
  </si>
  <si>
    <t>Référence commune : vue A</t>
  </si>
  <si>
    <t>R1 p.2/p.3</t>
  </si>
  <si>
    <t>Débit</t>
  </si>
  <si>
    <t>3 valeurs publiées / 5 NS</t>
  </si>
  <si>
    <t>Variante</t>
  </si>
  <si>
    <t>Reference_comparaison</t>
  </si>
  <si>
    <t>Constat</t>
  </si>
  <si>
    <t>Consequence_integration</t>
  </si>
  <si>
    <t>Verification</t>
  </si>
  <si>
    <t>Source</t>
  </si>
  <si>
    <t>D261.205.358-01 = majorité stricte 6/8</t>
  </si>
  <si>
    <t>Même connecteur que la majorité de la gamme.</t>
  </si>
  <si>
    <t>Pas d'écart identifié sur ce critère ; contrôler toutefois l'interface faisceau réelle.</t>
  </si>
  <si>
    <t>Référence connecteur + plan de connectique + faisceau véhicule.</t>
  </si>
  <si>
    <t>Brochage</t>
  </si>
  <si>
    <t>Brochage majoritaire : 7/8 identiques</t>
  </si>
  <si>
    <t>Brochage identique au brochage majoritaire de la gamme.</t>
  </si>
  <si>
    <t>Pas d'écart électrique publié ; l'interchangeabilité globale n'est pas démontrée.</t>
  </si>
  <si>
    <t>Comparer les 6 fonctions de broches et le plan de connectique.</t>
  </si>
  <si>
    <t>R1 p.3 - Variations - colonne 54 mm - Pin 1/A à 6/F</t>
  </si>
  <si>
    <t>Aucune majorité ; 50 et 58 mm = 2/8 chacune</t>
  </si>
  <si>
    <t>Bride 70 mm ; aucune référence de gamme unique ne permet de déclarer un écart absolu.</t>
  </si>
  <si>
    <t>Vérifier raccordement d'air, joint, portée d'étanchéité et encombrement.</t>
  </si>
  <si>
    <t>Plan coté / modèle CAO / interface collecteur.</t>
  </si>
  <si>
    <t>50 x 50 = valeur la plus fréquente (3/8), sans majorité stricte</t>
  </si>
  <si>
    <t>Une adaptation peut être nécessaire seulement si l'interface véhicule impose une autre fixation.</t>
  </si>
  <si>
    <t>Plan du support / collecteur + modèle CAO.</t>
  </si>
  <si>
    <t>Pas de majorité : 8 alésages différents</t>
  </si>
  <si>
    <t>L'alésage 54 mm est une variante fonctionnelle, pas un défaut.</t>
  </si>
  <si>
    <t>La capacité de passage d'air et la calibration doivent être compatibles avec le besoin moteur.</t>
  </si>
  <si>
    <t>Spécification moteur + courbe débit-angle.</t>
  </si>
  <si>
    <t>R1 p.3 - Variations - colonne 54 mm</t>
  </si>
  <si>
    <t>3 valeurs publiées / 5 NS ; aucun débit majoritaire</t>
  </si>
  <si>
    <t>Débit maximal non spécifié pour la 54 mm.</t>
  </si>
  <si>
    <t>La performance maximale n'est pas démontrée par R1.</t>
  </si>
  <si>
    <t>Demander courbe débit-angle / point de débit fournisseur ou réaliser un essai.</t>
  </si>
  <si>
    <t>Sens</t>
  </si>
  <si>
    <t>Antihoraire = 8/8 (vue A)</t>
  </si>
  <si>
    <t>Même sens d'ouverture publié que toute la gamme.</t>
  </si>
  <si>
    <t>Aucun écart de sens publié.</t>
  </si>
  <si>
    <t>Vérifier la même référence d'observation : vue A.</t>
  </si>
  <si>
    <t>R1 p.2 vue A + p.3 Opening direction</t>
  </si>
  <si>
    <t>Masse</t>
  </si>
  <si>
    <t>0,95 kg = valeur la plus fréquente (4/8), sans majorité stricte</t>
  </si>
  <si>
    <t>La 54 mm est à 0,95 kg, valeur la plus fréquente.</t>
  </si>
  <si>
    <t>À considérer pour le support et les sollicitations vibratoires.</t>
  </si>
  <si>
    <t>Exigences support / vibration / tenue mécanique.</t>
  </si>
  <si>
    <t>R1 p.3 - Variations - colonne 82 mm - Pin 1/A à 6/F</t>
  </si>
  <si>
    <t>Bride 90 mm ; aucune référence de gamme unique ne permet de déclarer un écart absolu.</t>
  </si>
  <si>
    <t>Fixation 75 x 75 différente de la valeur la plus fréquente.</t>
  </si>
  <si>
    <t>Le plan d'interface du collecteur est nécessaire pour conclure au montage direct ou au besoin d'adaptation.</t>
  </si>
  <si>
    <t>L'alésage 82 mm est une variante fonctionnelle, pas un défaut.</t>
  </si>
  <si>
    <t>R1 p.3 - Variations - colonne 82 mm</t>
  </si>
  <si>
    <t>Débit maximal non spécifié pour la 82 mm.</t>
  </si>
  <si>
    <t>La 82 mm est à 1,1 kg, au-dessus de la valeur la plus fréquente.</t>
  </si>
  <si>
    <t>Cas</t>
  </si>
  <si>
    <t>Confusion</t>
  </si>
  <si>
    <t>Cause</t>
  </si>
  <si>
    <t>Effet_systeme</t>
  </si>
  <si>
    <t>Barriere</t>
  </si>
  <si>
    <t>Classement</t>
  </si>
  <si>
    <t>54 ↔ 60</t>
  </si>
  <si>
    <t>Références proches 0280.750.150 / 0280.750.151 ; même connecteur et même brochage ; dimensions différentes.</t>
  </si>
  <si>
    <t>Erreur de référence, erreur logistique ou sélection de la mauvaise variante.</t>
  </si>
  <si>
    <t>Montage, adéquation moteur et calibration peuvent être incorrects ; compatibilité à vérifier.</t>
  </si>
  <si>
    <t>Conception : détrompage physique ou interface empêchant l'interversion des variantes à risque.</t>
  </si>
  <si>
    <t>Essai de non-accouplement, analyse des contournements possibles et dessin d'interface approuvé.</t>
  </si>
  <si>
    <t>R1 p.2 et p.3 ; guide Ex.1 §1.3</t>
  </si>
  <si>
    <t>Ligne : lecture/scanner du code article et comparaison avec la configuration attendue ; blocage si désaccord.</t>
  </si>
  <si>
    <t>Tester volontairement une mauvaise référence et vérifier le blocage ainsi que sa traçabilité.</t>
  </si>
  <si>
    <t>Logiciel : contrôle de plausibilité des deux voies de position et de la réponse à la commande ; mise en sécurité définie.</t>
  </si>
  <si>
    <t>Injection de défauts ; valider seuils, temps de réaction et comportement de repli.</t>
  </si>
  <si>
    <t>54 ↔ 82</t>
  </si>
  <si>
    <t>Même connecteur et même brochage, mais alésage, bride, fixation et masse différents.</t>
  </si>
  <si>
    <t>Mauvaise variante montée parce que le raccordement électrique ne révèle pas nécessairement l'erreur.</t>
  </si>
  <si>
    <t>Risque d'intégration mécanique ou fonctionnelle : raccordement d'air, fixation, encombrement et calibration à vérifier.</t>
  </si>
  <si>
    <t>Conception : détrompage physique ou interface rendant impossible l'assemblage de la mauvaise variante.</t>
  </si>
  <si>
    <t>Essai de non-accouplement + contrôle du plan d'interface / CAO des variantes 54 et 82 mm.</t>
  </si>
  <si>
    <t>Ligne : scanner la référence ETB et la comparer à la configuration véhicule ; bloquer l'opération en cas d'écart.</t>
  </si>
  <si>
    <t>Introduire volontairement la mauvaise référence et vérifier le blocage + enregistrement de l'anomalie.</t>
  </si>
  <si>
    <t>Logiciel : surveiller la cohérence des deux voies de position et la réponse réelle à la commande.</t>
  </si>
  <si>
    <t>Injection de défauts ; vérifier détection, seuils, temps de réaction et état de sécurité.</t>
  </si>
  <si>
    <t>Faisceau 46 → ETB 52</t>
  </si>
  <si>
    <t>Connecteur de même famille 356, mais brochage différent : broche 4 = Motor + sur 46 mm et Poti 2 sur 52 mm.</t>
  </si>
  <si>
    <t>Interversion de composant/faisceau malgré une connectique compatible en apparence.</t>
  </si>
  <si>
    <t>Comportement ETB incohérent et fonction de commande dégradée ; réaction de sécurité à définir.</t>
  </si>
  <si>
    <t>Conception : détrompage physique ou interface empêchant de raccorder ce faisceau à la mauvaise variante.</t>
  </si>
  <si>
    <t>Essai de non-accouplement et vérification détaillée de la vue d'accouplement / détrompage.</t>
  </si>
  <si>
    <t>R1 p.3 - Pin 46/52 ; guide Ex.1 §1.3</t>
  </si>
  <si>
    <t>Ligne : contrôle du code article et de la référence faisceau/ETB avant raccordement ; blocage si non-conformité.</t>
  </si>
  <si>
    <t>Essai avec mauvaise référence ; vérifier blocage, traçabilité et impossibilité de poursuivre l'opération.</t>
  </si>
  <si>
    <t>Logiciel : plausibilité Poti 1/Poti 2 + surveillance commande/position ; désactivation contrôlée du driver en défaut.</t>
  </si>
  <si>
    <t>Injection de défauts électriques ; mesurer temps de détection et vérifier l'état de repli. Attention : la détection peut être trop tardive pour éviter un dommage initial.</t>
  </si>
  <si>
    <t>Rang</t>
  </si>
  <si>
    <t>Type de barrière</t>
  </si>
  <si>
    <t>Objectif</t>
  </si>
  <si>
    <t>Conception</t>
  </si>
  <si>
    <t>Empêcher physiquement l'erreur</t>
  </si>
  <si>
    <t>Ligne</t>
  </si>
  <si>
    <t>Détecter la mauvaise référence avant montage</t>
  </si>
  <si>
    <t>Logiciel</t>
  </si>
  <si>
    <t>Détecter une incohérence et mettre en sécurité</t>
  </si>
  <si>
    <t>ID</t>
  </si>
  <si>
    <t>Information_manquante</t>
  </si>
  <si>
    <t>Impact</t>
  </si>
  <si>
    <t>Question_fournisseur</t>
  </si>
  <si>
    <t>Priorite</t>
  </si>
  <si>
    <t>Statut</t>
  </si>
  <si>
    <t>L01 - Débit</t>
  </si>
  <si>
    <t>54 / 82</t>
  </si>
  <si>
    <t>Courbes débit-angle et tolérances</t>
  </si>
  <si>
    <t>Dimensionnement air</t>
  </si>
  <si>
    <t>Pour les 54 et 82 mm, fournissez les courbes débit-angle sous les conditions de la note * et leurs tolérances.</t>
  </si>
  <si>
    <t>Haute</t>
  </si>
  <si>
    <t>À demander</t>
  </si>
  <si>
    <t>L02 - Courants</t>
  </si>
  <si>
    <t>Signification de « generator current » et profils de courant moteur</t>
  </si>
  <si>
    <t>Fils, fusible, driver</t>
  </si>
  <si>
    <t>Que désigne « generator current » ? Quels sont les courants nominal, de démarrage et de blocage, avec leurs durées ?</t>
  </si>
  <si>
    <t>L03 - Moteur</t>
  </si>
  <si>
    <t>Paramètres électriques du moteur</t>
  </si>
  <si>
    <t>Commande, modèle</t>
  </si>
  <si>
    <t>Quelles sont les résistances/inductances et constantes électriques du moteur, avec dispersion et température ?</t>
  </si>
  <si>
    <t>L04 - Dynamique</t>
  </si>
  <si>
    <t>Temps d'ouverture/fermeture et précision</t>
  </si>
  <si>
    <t>Exigences de boucle</t>
  </si>
  <si>
    <t>Quels temps d’ouverture/fermeture et quelle précision de position sont garantis sur la plage thermique ?</t>
  </si>
  <si>
    <t>L05 - Ressort</t>
  </si>
  <si>
    <t>Position de repos et couple de rappel</t>
  </si>
  <si>
    <t>Repli mécanique</t>
  </si>
  <si>
    <t>Quel angle de repos, quelle tolérance et quel couple de rappel sont garantis en perte d’alimentation ?</t>
  </si>
  <si>
    <t>L06 - Capteurs</t>
  </si>
  <si>
    <t>Caractéristiques détaillées POTI1/POTI2</t>
  </si>
  <si>
    <t>ADC, RC, diagnostic</t>
  </si>
  <si>
    <t>Fournissez les lois exactes POTI1/POTI2, tolérances, impédances, charges admises et comportements en défaut.</t>
  </si>
  <si>
    <t>L07 - Connectique</t>
  </si>
  <si>
    <t>Vue d'accouplement, contacts et détrompage</t>
  </si>
  <si>
    <t>Faisceau, erreur de pin</t>
  </si>
  <si>
    <t>Fournissez le plan avec vue d’accouplement, repérage 1A à 6F, contacts, détrompage, étanchéité et contrepartie.</t>
  </si>
  <si>
    <t>L08 - Plan coté</t>
  </si>
  <si>
    <t>Tolérances mécaniques et modèle 3D</t>
  </si>
  <si>
    <t>Montage, implantation</t>
  </si>
  <si>
    <t>Fournissez le plan 54/82 mm, les tolérances, les références géométriques et le modèle 3D.</t>
  </si>
  <si>
    <t>L09 - Assemblage</t>
  </si>
  <si>
    <t>Joints, vis, serrage, états de surface</t>
  </si>
  <si>
    <t>Étanchéité, tenue</t>
  </si>
  <si>
    <t>Quels joints, vis, couples de serrage, états de surface et limites de déformation sont requis ?</t>
  </si>
  <si>
    <t>Moyenne</t>
  </si>
  <si>
    <t>L10 - Environnement</t>
  </si>
  <si>
    <t>Étanchéité, fluides, corrosion</t>
  </si>
  <si>
    <t>Usage véhicule</t>
  </si>
  <si>
    <t>Quels niveaux d’étanchéité et quelles résistances aux fluides et à la corrosion sont validés ?</t>
  </si>
  <si>
    <t>L11 - CEM / électrique</t>
  </si>
  <si>
    <t>Validation CEM et protections électriques</t>
  </si>
  <si>
    <t>Robustesse électrique</t>
  </si>
  <si>
    <t>Quels essais d’émission, immunité, ESD, transitoires et inversions de polarité sont réalisés, avec résultats ?</t>
  </si>
  <si>
    <t>L12 - Durée de vie</t>
  </si>
  <si>
    <t>Cycles et durée de vie garantie</t>
  </si>
  <si>
    <t>Durabilité</t>
  </si>
  <si>
    <t>Quels cycles et quelle durée sont garantis, pour quels profils de charge, température et vibration ?</t>
  </si>
  <si>
    <t>L13 - Thermique</t>
  </si>
  <si>
    <t>Limites courant/couple selon température et durée</t>
  </si>
  <si>
    <t>Dérating, blocage</t>
  </si>
  <si>
    <t>Quelles limites de courant/couple s’appliquent selon température et durée d’actionnement ?</t>
  </si>
  <si>
    <t>L14 - Modification série</t>
  </si>
  <si>
    <t>Toutes variantes</t>
  </si>
  <si>
    <t>Gestion des indices, changements et fin de vie</t>
  </si>
  <si>
    <t>Responsabilité DRE</t>
  </si>
  <si>
    <t>Comment sont gérés les indices, changements, notifications, traçabilité et fin de vie des références ?</t>
  </si>
  <si>
    <t>deux valeurs les plus fréquentes à égalité  ; aucune majorité</t>
  </si>
  <si>
    <t>Erreur de référence, erreur logistique.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</si>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</sst>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\-??\ _€_-;_-@_-"/>
    <numFmt numFmtId="165" formatCode="_-* #,##0\ _€_-;\-* #,##0\ _€_-;_-* &quot;- &quot;_€_-;_-@_-"/>
    <numFmt numFmtId="166" formatCode="_-* #,##0.00&quot; €&quot;_-;\-* #,##0.00&quot; €&quot;_-;_-* \-??&quot; €&quot;_-;_-@_-"/>
    <numFmt numFmtId="167" formatCode="_-* #,##0&quot; €&quot;_-;\-* #,##0&quot; €&quot;_-;_-* &quot;- €&quot;_-;_-@_-"/>
    <numFmt numFmtId="168" formatCode="0\ %"/>
    <numFmt numFmtId="169" formatCode="0.0"/>
  </numFmts>
  <fonts count="10" x14ac:knownFonts="1">
    <font>
      <sz val="10"/>
      <name val="Arial"/>
      <family val="2"/>
    </font>
    <font>
      <sz val="10"/>
      <name val="Arial"/>
      <charset val="1"/>
    </font>
    <font>
      <sz val="11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2"/>
      <name val="Arial"/>
      <family val="2"/>
    </font>
    <font>
      <b/>
      <sz val="12"/>
      <color rgb="FFFFFFFF"/>
      <name val="Arial"/>
      <charset val="1"/>
    </font>
    <font>
      <sz val="12"/>
      <name val="Arial"/>
      <charset val="1"/>
    </font>
    <font>
      <b/>
      <sz val="10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385D8A"/>
        <bgColor rgb="FF156082"/>
      </patternFill>
    </fill>
    <fill>
      <patternFill patternType="solid">
        <fgColor rgb="FF5B6573"/>
        <bgColor rgb="FF385D8A"/>
      </patternFill>
    </fill>
    <fill>
      <patternFill patternType="solid">
        <fgColor rgb="FFF3F6F9"/>
        <bgColor rgb="FFF2F2F2"/>
      </patternFill>
    </fill>
    <fill>
      <patternFill patternType="solid">
        <fgColor rgb="FFB7DDE8"/>
        <bgColor rgb="FFB6D7A8"/>
      </patternFill>
    </fill>
    <fill>
      <patternFill patternType="solid">
        <fgColor rgb="FFF2F2F2"/>
        <bgColor rgb="FFF3F6F9"/>
      </patternFill>
    </fill>
    <fill>
      <patternFill patternType="solid">
        <fgColor rgb="FFD9EAF7"/>
        <bgColor rgb="FFD9EAD3"/>
      </patternFill>
    </fill>
    <fill>
      <patternFill patternType="solid">
        <fgColor rgb="FFE2F0D9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164" fontId="1" fillId="0" borderId="0" applyBorder="0" applyAlignment="0" applyProtection="0"/>
    <xf numFmtId="165" fontId="1" fillId="0" borderId="0" applyBorder="0" applyAlignment="0" applyProtection="0"/>
    <xf numFmtId="166" fontId="1" fillId="0" borderId="0" applyBorder="0" applyAlignment="0" applyProtection="0"/>
    <xf numFmtId="167" fontId="1" fillId="0" borderId="0" applyBorder="0" applyAlignment="0" applyProtection="0"/>
    <xf numFmtId="0" fontId="1" fillId="0" borderId="0"/>
    <xf numFmtId="0" fontId="2" fillId="0" borderId="0"/>
    <xf numFmtId="0" fontId="1" fillId="0" borderId="0"/>
    <xf numFmtId="168" fontId="1" fillId="0" borderId="0" applyBorder="0" applyAlignment="0" applyProtection="0"/>
  </cellStyleXfs>
  <cellXfs count="53">
    <xf numFmtId="0" fontId="0" fillId="0" borderId="0" xfId="0"/>
    <xf numFmtId="0" fontId="1" fillId="0" borderId="0" xfId="7" applyAlignment="1">
      <alignment horizontal="center"/>
    </xf>
    <xf numFmtId="0" fontId="3" fillId="2" borderId="1" xfId="6" applyFont="1" applyFill="1" applyBorder="1" applyAlignment="1">
      <alignment horizontal="center" vertical="center" wrapText="1"/>
    </xf>
    <xf numFmtId="0" fontId="3" fillId="3" borderId="1" xfId="6" applyFont="1" applyFill="1" applyBorder="1" applyAlignment="1">
      <alignment horizontal="center" vertical="center" wrapText="1"/>
    </xf>
    <xf numFmtId="0" fontId="3" fillId="4" borderId="1" xfId="6" applyFont="1" applyFill="1" applyBorder="1" applyAlignment="1">
      <alignment horizontal="center" vertical="center" wrapText="1"/>
    </xf>
    <xf numFmtId="1" fontId="2" fillId="0" borderId="1" xfId="6" applyNumberFormat="1" applyBorder="1" applyAlignment="1">
      <alignment horizontal="center" vertical="center" wrapText="1"/>
    </xf>
    <xf numFmtId="0" fontId="2" fillId="0" borderId="1" xfId="6" applyBorder="1" applyAlignment="1">
      <alignment horizontal="center" vertical="center" wrapText="1"/>
    </xf>
    <xf numFmtId="169" fontId="2" fillId="0" borderId="1" xfId="6" applyNumberFormat="1" applyBorder="1" applyAlignment="1">
      <alignment horizontal="center" vertical="center" wrapText="1"/>
    </xf>
    <xf numFmtId="2" fontId="2" fillId="0" borderId="1" xfId="6" applyNumberFormat="1" applyBorder="1" applyAlignment="1">
      <alignment horizontal="center" vertical="center" wrapText="1"/>
    </xf>
    <xf numFmtId="1" fontId="2" fillId="5" borderId="1" xfId="6" applyNumberFormat="1" applyFill="1" applyBorder="1" applyAlignment="1">
      <alignment horizontal="center" vertical="center" wrapText="1"/>
    </xf>
    <xf numFmtId="0" fontId="2" fillId="5" borderId="1" xfId="6" applyFill="1" applyBorder="1" applyAlignment="1">
      <alignment horizontal="center" vertical="center" wrapText="1"/>
    </xf>
    <xf numFmtId="169" fontId="2" fillId="5" borderId="1" xfId="6" applyNumberFormat="1" applyFill="1" applyBorder="1" applyAlignment="1">
      <alignment horizontal="center" vertical="center" wrapText="1"/>
    </xf>
    <xf numFmtId="2" fontId="2" fillId="5" borderId="1" xfId="6" applyNumberForma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 wrapText="1"/>
    </xf>
    <xf numFmtId="0" fontId="1" fillId="0" borderId="0" xfId="7" applyAlignment="1">
      <alignment vertical="center" wrapText="1"/>
    </xf>
    <xf numFmtId="0" fontId="4" fillId="2" borderId="0" xfId="7" applyFont="1" applyFill="1" applyAlignment="1">
      <alignment horizontal="center" vertical="center" wrapText="1"/>
    </xf>
    <xf numFmtId="0" fontId="1" fillId="6" borderId="1" xfId="7" applyFill="1" applyBorder="1" applyAlignment="1">
      <alignment horizontal="center" vertical="center" wrapText="1"/>
    </xf>
    <xf numFmtId="0" fontId="1" fillId="6" borderId="0" xfId="7" applyFill="1" applyAlignment="1">
      <alignment vertical="center" wrapText="1"/>
    </xf>
    <xf numFmtId="0" fontId="1" fillId="7" borderId="1" xfId="7" applyFill="1" applyBorder="1" applyAlignment="1">
      <alignment horizontal="center" vertical="center" wrapText="1"/>
    </xf>
    <xf numFmtId="0" fontId="1" fillId="7" borderId="0" xfId="7" applyFill="1" applyAlignment="1">
      <alignment vertical="center" wrapText="1"/>
    </xf>
    <xf numFmtId="0" fontId="4" fillId="2" borderId="1" xfId="7" applyFont="1" applyFill="1" applyBorder="1" applyAlignment="1">
      <alignment horizontal="center" vertical="top" wrapText="1"/>
    </xf>
    <xf numFmtId="0" fontId="5" fillId="8" borderId="1" xfId="7" applyFont="1" applyFill="1" applyBorder="1" applyAlignment="1">
      <alignment horizontal="center" vertical="top" wrapText="1"/>
    </xf>
    <xf numFmtId="0" fontId="1" fillId="6" borderId="1" xfId="7" applyFill="1" applyBorder="1" applyAlignment="1">
      <alignment horizontal="center" vertical="top" wrapText="1"/>
    </xf>
    <xf numFmtId="0" fontId="1" fillId="7" borderId="1" xfId="7" applyFill="1" applyBorder="1" applyAlignment="1">
      <alignment horizontal="center" vertical="top" wrapText="1"/>
    </xf>
    <xf numFmtId="0" fontId="5" fillId="9" borderId="1" xfId="7" applyFont="1" applyFill="1" applyBorder="1" applyAlignment="1">
      <alignment horizontal="center" vertical="top" wrapText="1"/>
    </xf>
    <xf numFmtId="0" fontId="4" fillId="2" borderId="1" xfId="5" applyFont="1" applyFill="1" applyBorder="1" applyAlignment="1">
      <alignment horizontal="center" vertical="center" wrapText="1"/>
    </xf>
    <xf numFmtId="0" fontId="1" fillId="8" borderId="1" xfId="5" applyFill="1" applyBorder="1" applyAlignment="1">
      <alignment horizontal="center" vertical="center" wrapText="1"/>
    </xf>
    <xf numFmtId="0" fontId="5" fillId="10" borderId="1" xfId="5" applyFont="1" applyFill="1" applyBorder="1" applyAlignment="1">
      <alignment horizontal="center" vertical="center" wrapText="1"/>
    </xf>
    <xf numFmtId="0" fontId="1" fillId="9" borderId="1" xfId="5" applyFill="1" applyBorder="1" applyAlignment="1">
      <alignment horizontal="center" vertical="center" wrapText="1"/>
    </xf>
    <xf numFmtId="0" fontId="1" fillId="11" borderId="1" xfId="5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/>
    </xf>
    <xf numFmtId="0" fontId="1" fillId="5" borderId="1" xfId="5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2" borderId="1" xfId="5" applyFont="1" applyFill="1" applyBorder="1" applyAlignment="1">
      <alignment horizontal="left" vertical="center" wrapText="1"/>
    </xf>
    <xf numFmtId="0" fontId="7" fillId="2" borderId="1" xfId="5" applyFont="1" applyFill="1" applyBorder="1" applyAlignment="1">
      <alignment horizontal="center" vertical="center" wrapText="1"/>
    </xf>
    <xf numFmtId="0" fontId="8" fillId="8" borderId="1" xfId="5" applyFont="1" applyFill="1" applyBorder="1" applyAlignment="1">
      <alignment horizontal="left" vertical="center" wrapText="1"/>
    </xf>
    <xf numFmtId="0" fontId="8" fillId="8" borderId="1" xfId="5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 vertical="center" wrapText="1"/>
    </xf>
    <xf numFmtId="0" fontId="8" fillId="5" borderId="1" xfId="5" applyFont="1" applyFill="1" applyBorder="1" applyAlignment="1">
      <alignment horizontal="center" vertical="center" wrapText="1"/>
    </xf>
    <xf numFmtId="1" fontId="2" fillId="12" borderId="1" xfId="6" applyNumberFormat="1" applyFill="1" applyBorder="1" applyAlignment="1">
      <alignment horizontal="center" vertical="center" wrapText="1"/>
    </xf>
    <xf numFmtId="0" fontId="2" fillId="12" borderId="1" xfId="6" applyFill="1" applyBorder="1" applyAlignment="1">
      <alignment horizontal="center" vertical="center" wrapText="1"/>
    </xf>
    <xf numFmtId="169" fontId="2" fillId="12" borderId="1" xfId="6" applyNumberFormat="1" applyFill="1" applyBorder="1" applyAlignment="1">
      <alignment horizontal="center" vertical="center" wrapText="1"/>
    </xf>
    <xf numFmtId="2" fontId="2" fillId="12" borderId="1" xfId="6" applyNumberFormat="1" applyFill="1" applyBorder="1" applyAlignment="1">
      <alignment horizontal="center" vertical="center" wrapText="1"/>
    </xf>
    <xf numFmtId="0" fontId="1" fillId="13" borderId="0" xfId="7" applyFill="1" applyAlignment="1">
      <alignment horizontal="center"/>
    </xf>
    <xf numFmtId="1" fontId="2" fillId="14" borderId="1" xfId="6" applyNumberFormat="1" applyFill="1" applyBorder="1" applyAlignment="1">
      <alignment horizontal="center" vertical="center" wrapText="1"/>
    </xf>
    <xf numFmtId="0" fontId="2" fillId="14" borderId="1" xfId="6" applyFill="1" applyBorder="1" applyAlignment="1">
      <alignment horizontal="center" vertical="center" wrapText="1"/>
    </xf>
    <xf numFmtId="169" fontId="2" fillId="14" borderId="1" xfId="6" applyNumberFormat="1" applyFill="1" applyBorder="1" applyAlignment="1">
      <alignment horizontal="center" vertical="center" wrapText="1"/>
    </xf>
    <xf numFmtId="2" fontId="2" fillId="14" borderId="1" xfId="6" applyNumberFormat="1" applyFill="1" applyBorder="1" applyAlignment="1">
      <alignment horizontal="center" vertical="center" wrapText="1"/>
    </xf>
    <xf numFmtId="0" fontId="1" fillId="14" borderId="0" xfId="7" applyFill="1" applyAlignment="1">
      <alignment horizontal="center"/>
    </xf>
    <xf numFmtId="0" fontId="0" fillId="7" borderId="0" xfId="7" applyFont="1" applyFill="1" applyAlignment="1">
      <alignment vertical="center" wrapText="1"/>
    </xf>
    <xf numFmtId="0" fontId="0" fillId="8" borderId="1" xfId="5" applyFont="1" applyFill="1" applyBorder="1" applyAlignment="1">
      <alignment horizontal="center" vertical="center" wrapText="1"/>
    </xf>
    <xf numFmtId="0" fontId="9" fillId="2" borderId="1" xfId="5" applyFont="1" applyFill="1" applyBorder="1" applyAlignment="1">
      <alignment horizontal="center" vertical="center"/>
    </xf>
  </cellXfs>
  <cellStyles count="9">
    <cellStyle name="Comma [0] 2" xfId="2" xr:uid="{00000000-0005-0000-0000-000007000000}"/>
    <cellStyle name="Comma 1" xfId="1" xr:uid="{00000000-0005-0000-0000-000006000000}"/>
    <cellStyle name="Currency [0] 4" xfId="4" xr:uid="{00000000-0005-0000-0000-000009000000}"/>
    <cellStyle name="Currency 3" xfId="3" xr:uid="{00000000-0005-0000-0000-000008000000}"/>
    <cellStyle name="Normal" xfId="0" builtinId="0"/>
    <cellStyle name="Normal 2" xfId="6" xr:uid="{00000000-0005-0000-0000-00000B000000}"/>
    <cellStyle name="Normal 3" xfId="5" xr:uid="{00000000-0005-0000-0000-00000A000000}"/>
    <cellStyle name="Normal 5" xfId="7" xr:uid="{00000000-0005-0000-0000-00000C000000}"/>
    <cellStyle name="Percent 6" xfId="8" xr:uid="{00000000-0005-0000-0000-00000D000000}"/>
  </cellStyles>
  <dxfs count="11">
    <dxf>
      <font>
        <b/>
      </font>
      <fill>
        <patternFill>
          <bgColor rgb="FFB6D7A8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FFF2C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6D7A8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9"/>
      <rgbColor rgb="FFE2F0D9"/>
      <rgbColor rgb="FFFCE4D6"/>
      <rgbColor rgb="FFD9EAD3"/>
      <rgbColor rgb="FFF2F2F2"/>
      <rgbColor rgb="FFCC99FF"/>
      <rgbColor rgb="FFF4CCCC"/>
      <rgbColor rgb="FF3366FF"/>
      <rgbColor rgb="FF46B1E1"/>
      <rgbColor rgb="FF99CC00"/>
      <rgbColor rgb="FFFFCC00"/>
      <rgbColor rgb="FFFF9900"/>
      <rgbColor rgb="FFFF6600"/>
      <rgbColor rgb="FF5B6573"/>
      <rgbColor rgb="FF969696"/>
      <rgbColor rgb="FF17365D"/>
      <rgbColor rgb="FF339966"/>
      <rgbColor rgb="FF003300"/>
      <rgbColor rgb="FF333300"/>
      <rgbColor rgb="FF993300"/>
      <rgbColor rgb="FF993366"/>
      <rgbColor rgb="FF385D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ntesETB" displayName="VariantesETB" ref="A1:AV9" totalsRowShown="0">
  <tableColumns count="48">
    <tableColumn id="1" xr3:uid="{00000000-0010-0000-0000-000001000000}" name="alesage_mm"/>
    <tableColumn id="2" xr3:uid="{00000000-0010-0000-0000-000002000000}" name="reference_commande"/>
    <tableColumn id="3" xr3:uid="{00000000-0010-0000-0000-000003000000}" name="connecteur"/>
    <tableColumn id="4" xr3:uid="{00000000-0010-0000-0000-000004000000}" name="broche_1"/>
    <tableColumn id="5" xr3:uid="{00000000-0010-0000-0000-000005000000}" name="broche_2"/>
    <tableColumn id="6" xr3:uid="{00000000-0010-0000-0000-000006000000}" name="broche_3"/>
    <tableColumn id="7" xr3:uid="{00000000-0010-0000-0000-000007000000}" name="broche_4"/>
    <tableColumn id="8" xr3:uid="{00000000-0010-0000-0000-000008000000}" name="broche_5"/>
    <tableColumn id="9" xr3:uid="{00000000-0010-0000-0000-000009000000}" name="broche_6"/>
    <tableColumn id="10" xr3:uid="{00000000-0010-0000-0000-00000A000000}" name="bride_mm"/>
    <tableColumn id="11" xr3:uid="{00000000-0010-0000-0000-00000B000000}" name="fixation_mm"/>
    <tableColumn id="12" xr3:uid="{00000000-0010-0000-0000-00000C000000}" name="masse_kg"/>
    <tableColumn id="13" xr3:uid="{00000000-0010-0000-0000-00000D000000}" name="debit_max_kg_h"/>
    <tableColumn id="14" xr3:uid="{00000000-0010-0000-0000-00000E000000}" name="sens_ouverture"/>
    <tableColumn id="15" xr3:uid="{00000000-0010-0000-0000-00000F000000}" name="angle_debit_deg"/>
    <tableColumn id="16" xr3:uid="{00000000-0010-0000-0000-000010000000}" name="conditions_debit"/>
    <tableColumn id="17" xr3:uid="{00000000-0010-0000-0000-000011000000}" name="alesage_mm_source"/>
    <tableColumn id="18" xr3:uid="{00000000-0010-0000-0000-000012000000}" name="reference_commande_source"/>
    <tableColumn id="19" xr3:uid="{00000000-0010-0000-0000-000013000000}" name="connecteur_source"/>
    <tableColumn id="20" xr3:uid="{00000000-0010-0000-0000-000014000000}" name="broche_1_source"/>
    <tableColumn id="21" xr3:uid="{00000000-0010-0000-0000-000015000000}" name="broche_2_source"/>
    <tableColumn id="22" xr3:uid="{00000000-0010-0000-0000-000016000000}" name="broche_3_source"/>
    <tableColumn id="23" xr3:uid="{00000000-0010-0000-0000-000017000000}" name="broche_4_source"/>
    <tableColumn id="24" xr3:uid="{00000000-0010-0000-0000-000018000000}" name="broche_5_source"/>
    <tableColumn id="25" xr3:uid="{00000000-0010-0000-0000-000019000000}" name="broche_6_source"/>
    <tableColumn id="26" xr3:uid="{00000000-0010-0000-0000-00001A000000}" name="bride_mm_source"/>
    <tableColumn id="27" xr3:uid="{00000000-0010-0000-0000-00001B000000}" name="fixation_mm_source"/>
    <tableColumn id="28" xr3:uid="{00000000-0010-0000-0000-00001C000000}" name="masse_kg_source"/>
    <tableColumn id="29" xr3:uid="{00000000-0010-0000-0000-00001D000000}" name="debit_max_kg_h_source"/>
    <tableColumn id="30" xr3:uid="{00000000-0010-0000-0000-00001E000000}" name="sens_ouverture_source"/>
    <tableColumn id="31" xr3:uid="{00000000-0010-0000-0000-00001F000000}" name="angle_debit_deg_source"/>
    <tableColumn id="32" xr3:uid="{00000000-0010-0000-0000-000020000000}" name="conditions_debit_source"/>
    <tableColumn id="33" xr3:uid="{00000000-0010-0000-0000-000021000000}" name="alesage_mm_statut"/>
    <tableColumn id="34" xr3:uid="{00000000-0010-0000-0000-000022000000}" name="reference_commande_statut"/>
    <tableColumn id="35" xr3:uid="{00000000-0010-0000-0000-000023000000}" name="connecteur_statut"/>
    <tableColumn id="36" xr3:uid="{00000000-0010-0000-0000-000024000000}" name="broche_1_statut"/>
    <tableColumn id="37" xr3:uid="{00000000-0010-0000-0000-000025000000}" name="broche_2_statut"/>
    <tableColumn id="38" xr3:uid="{00000000-0010-0000-0000-000026000000}" name="broche_3_statut"/>
    <tableColumn id="39" xr3:uid="{00000000-0010-0000-0000-000027000000}" name="broche_4_statut"/>
    <tableColumn id="40" xr3:uid="{00000000-0010-0000-0000-000028000000}" name="broche_5_statut"/>
    <tableColumn id="41" xr3:uid="{00000000-0010-0000-0000-000029000000}" name="broche_6_statut"/>
    <tableColumn id="42" xr3:uid="{00000000-0010-0000-0000-00002A000000}" name="bride_mm_statut"/>
    <tableColumn id="43" xr3:uid="{00000000-0010-0000-0000-00002B000000}" name="fixation_mm_statut"/>
    <tableColumn id="44" xr3:uid="{00000000-0010-0000-0000-00002C000000}" name="masse_kg_statut"/>
    <tableColumn id="45" xr3:uid="{00000000-0010-0000-0000-00002D000000}" name="debit_max_kg_h_statut"/>
    <tableColumn id="46" xr3:uid="{00000000-0010-0000-0000-00002E000000}" name="sens_ouverture_statut"/>
    <tableColumn id="47" xr3:uid="{00000000-0010-0000-0000-00002F000000}" name="angle_debit_deg_statut"/>
    <tableColumn id="48" xr3:uid="{00000000-0010-0000-0000-000030000000}" name="conditions_debit_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zoomScale="137" zoomScaleNormal="6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6" sqref="A16"/>
    </sheetView>
  </sheetViews>
  <sheetFormatPr defaultColWidth="23.54296875" defaultRowHeight="12.5" x14ac:dyDescent="0.25"/>
  <cols>
    <col min="1" max="15" width="23.54296875" style="1"/>
    <col min="16" max="16" width="26.7265625" style="1" customWidth="1"/>
    <col min="17" max="17" width="23.54296875" style="1"/>
    <col min="18" max="18" width="27.453125" style="1" customWidth="1"/>
    <col min="19" max="16384" width="23.54296875" style="1"/>
  </cols>
  <sheetData>
    <row r="1" spans="1:48" ht="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tr">
        <f t="shared" ref="Q1:AF1" si="0">A1&amp;"_source"</f>
        <v>alesage_mm_source</v>
      </c>
      <c r="R1" s="3" t="str">
        <f t="shared" si="0"/>
        <v>reference_commande_source</v>
      </c>
      <c r="S1" s="3" t="str">
        <f t="shared" si="0"/>
        <v>connecteur_source</v>
      </c>
      <c r="T1" s="3" t="str">
        <f t="shared" si="0"/>
        <v>broche_1_source</v>
      </c>
      <c r="U1" s="3" t="str">
        <f t="shared" si="0"/>
        <v>broche_2_source</v>
      </c>
      <c r="V1" s="3" t="str">
        <f t="shared" si="0"/>
        <v>broche_3_source</v>
      </c>
      <c r="W1" s="3" t="str">
        <f t="shared" si="0"/>
        <v>broche_4_source</v>
      </c>
      <c r="X1" s="3" t="str">
        <f t="shared" si="0"/>
        <v>broche_5_source</v>
      </c>
      <c r="Y1" s="3" t="str">
        <f t="shared" si="0"/>
        <v>broche_6_source</v>
      </c>
      <c r="Z1" s="3" t="str">
        <f t="shared" si="0"/>
        <v>bride_mm_source</v>
      </c>
      <c r="AA1" s="3" t="str">
        <f t="shared" si="0"/>
        <v>fixation_mm_source</v>
      </c>
      <c r="AB1" s="3" t="str">
        <f t="shared" si="0"/>
        <v>masse_kg_source</v>
      </c>
      <c r="AC1" s="3" t="str">
        <f t="shared" si="0"/>
        <v>debit_max_kg_h_source</v>
      </c>
      <c r="AD1" s="3" t="str">
        <f t="shared" si="0"/>
        <v>sens_ouverture_source</v>
      </c>
      <c r="AE1" s="3" t="str">
        <f t="shared" si="0"/>
        <v>angle_debit_deg_source</v>
      </c>
      <c r="AF1" s="3" t="str">
        <f t="shared" si="0"/>
        <v>conditions_debit_source</v>
      </c>
      <c r="AG1" s="4" t="str">
        <f t="shared" ref="AG1:AV1" si="1">A1&amp;"_statut"</f>
        <v>alesage_mm_statut</v>
      </c>
      <c r="AH1" s="4" t="str">
        <f t="shared" si="1"/>
        <v>reference_commande_statut</v>
      </c>
      <c r="AI1" s="4" t="str">
        <f t="shared" si="1"/>
        <v>connecteur_statut</v>
      </c>
      <c r="AJ1" s="4" t="str">
        <f t="shared" si="1"/>
        <v>broche_1_statut</v>
      </c>
      <c r="AK1" s="4" t="str">
        <f t="shared" si="1"/>
        <v>broche_2_statut</v>
      </c>
      <c r="AL1" s="4" t="str">
        <f t="shared" si="1"/>
        <v>broche_3_statut</v>
      </c>
      <c r="AM1" s="4" t="str">
        <f t="shared" si="1"/>
        <v>broche_4_statut</v>
      </c>
      <c r="AN1" s="4" t="str">
        <f t="shared" si="1"/>
        <v>broche_5_statut</v>
      </c>
      <c r="AO1" s="4" t="str">
        <f t="shared" si="1"/>
        <v>broche_6_statut</v>
      </c>
      <c r="AP1" s="4" t="str">
        <f t="shared" si="1"/>
        <v>bride_mm_statut</v>
      </c>
      <c r="AQ1" s="4" t="str">
        <f t="shared" si="1"/>
        <v>fixation_mm_statut</v>
      </c>
      <c r="AR1" s="4" t="str">
        <f t="shared" si="1"/>
        <v>masse_kg_statut</v>
      </c>
      <c r="AS1" s="4" t="str">
        <f t="shared" si="1"/>
        <v>debit_max_kg_h_statut</v>
      </c>
      <c r="AT1" s="4" t="str">
        <f t="shared" si="1"/>
        <v>sens_ouverture_statut</v>
      </c>
      <c r="AU1" s="4" t="str">
        <f t="shared" si="1"/>
        <v>angle_debit_deg_statut</v>
      </c>
      <c r="AV1" s="4" t="str">
        <f t="shared" si="1"/>
        <v>conditions_debit_statut</v>
      </c>
    </row>
    <row r="2" spans="1:48" s="49" customFormat="1" ht="43.5" x14ac:dyDescent="0.25">
      <c r="A2" s="45">
        <v>32</v>
      </c>
      <c r="B2" s="46" t="s">
        <v>16</v>
      </c>
      <c r="C2" s="46" t="s">
        <v>17</v>
      </c>
      <c r="D2" s="46" t="s">
        <v>18</v>
      </c>
      <c r="E2" s="46" t="s">
        <v>19</v>
      </c>
      <c r="F2" s="46" t="s">
        <v>20</v>
      </c>
      <c r="G2" s="46" t="s">
        <v>21</v>
      </c>
      <c r="H2" s="46" t="s">
        <v>22</v>
      </c>
      <c r="I2" s="46" t="s">
        <v>23</v>
      </c>
      <c r="J2" s="47">
        <v>40</v>
      </c>
      <c r="K2" s="46" t="s">
        <v>24</v>
      </c>
      <c r="L2" s="48">
        <v>0.9</v>
      </c>
      <c r="M2" s="45">
        <v>394</v>
      </c>
      <c r="N2" s="46" t="s">
        <v>25</v>
      </c>
      <c r="O2" s="45">
        <v>85</v>
      </c>
      <c r="P2" s="46" t="s">
        <v>26</v>
      </c>
      <c r="Q2" s="46" t="s">
        <v>27</v>
      </c>
      <c r="R2" s="46" t="s">
        <v>28</v>
      </c>
      <c r="S2" s="46" t="s">
        <v>29</v>
      </c>
      <c r="T2" s="46" t="s">
        <v>30</v>
      </c>
      <c r="U2" s="46" t="s">
        <v>31</v>
      </c>
      <c r="V2" s="46" t="s">
        <v>32</v>
      </c>
      <c r="W2" s="46" t="s">
        <v>33</v>
      </c>
      <c r="X2" s="46" t="s">
        <v>34</v>
      </c>
      <c r="Y2" s="46" t="s">
        <v>35</v>
      </c>
      <c r="Z2" s="46" t="s">
        <v>36</v>
      </c>
      <c r="AA2" s="46" t="s">
        <v>37</v>
      </c>
      <c r="AB2" s="46" t="s">
        <v>38</v>
      </c>
      <c r="AC2" s="46" t="s">
        <v>39</v>
      </c>
      <c r="AD2" s="46" t="s">
        <v>40</v>
      </c>
      <c r="AE2" s="46" t="s">
        <v>41</v>
      </c>
      <c r="AF2" s="46" t="s">
        <v>42</v>
      </c>
      <c r="AG2" s="46" t="s">
        <v>43</v>
      </c>
      <c r="AH2" s="46" t="s">
        <v>43</v>
      </c>
      <c r="AI2" s="46" t="s">
        <v>43</v>
      </c>
      <c r="AJ2" s="46" t="s">
        <v>43</v>
      </c>
      <c r="AK2" s="46" t="s">
        <v>43</v>
      </c>
      <c r="AL2" s="46" t="s">
        <v>43</v>
      </c>
      <c r="AM2" s="46" t="s">
        <v>43</v>
      </c>
      <c r="AN2" s="46" t="s">
        <v>43</v>
      </c>
      <c r="AO2" s="46" t="s">
        <v>43</v>
      </c>
      <c r="AP2" s="46" t="s">
        <v>43</v>
      </c>
      <c r="AQ2" s="46" t="s">
        <v>43</v>
      </c>
      <c r="AR2" s="46" t="s">
        <v>43</v>
      </c>
      <c r="AS2" s="46" t="s">
        <v>43</v>
      </c>
      <c r="AT2" s="46" t="s">
        <v>43</v>
      </c>
      <c r="AU2" s="46" t="s">
        <v>43</v>
      </c>
      <c r="AV2" s="46" t="s">
        <v>43</v>
      </c>
    </row>
    <row r="3" spans="1:48" ht="43.5" x14ac:dyDescent="0.25">
      <c r="A3" s="9">
        <v>40</v>
      </c>
      <c r="B3" s="10" t="s">
        <v>44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1">
        <v>50</v>
      </c>
      <c r="K3" s="10" t="s">
        <v>24</v>
      </c>
      <c r="L3" s="12">
        <v>0.9</v>
      </c>
      <c r="M3" s="9">
        <v>695</v>
      </c>
      <c r="N3" s="10" t="s">
        <v>25</v>
      </c>
      <c r="O3" s="9">
        <v>85</v>
      </c>
      <c r="P3" s="10" t="s">
        <v>26</v>
      </c>
      <c r="Q3" s="10" t="s">
        <v>45</v>
      </c>
      <c r="R3" s="10" t="s">
        <v>46</v>
      </c>
      <c r="S3" s="10" t="s">
        <v>47</v>
      </c>
      <c r="T3" s="10" t="s">
        <v>48</v>
      </c>
      <c r="U3" s="10" t="s">
        <v>49</v>
      </c>
      <c r="V3" s="10" t="s">
        <v>50</v>
      </c>
      <c r="W3" s="10" t="s">
        <v>51</v>
      </c>
      <c r="X3" s="10" t="s">
        <v>52</v>
      </c>
      <c r="Y3" s="10" t="s">
        <v>53</v>
      </c>
      <c r="Z3" s="10" t="s">
        <v>54</v>
      </c>
      <c r="AA3" s="10" t="s">
        <v>55</v>
      </c>
      <c r="AB3" s="10" t="s">
        <v>56</v>
      </c>
      <c r="AC3" s="10" t="s">
        <v>57</v>
      </c>
      <c r="AD3" s="10" t="s">
        <v>40</v>
      </c>
      <c r="AE3" s="10" t="s">
        <v>41</v>
      </c>
      <c r="AF3" s="10" t="s">
        <v>42</v>
      </c>
      <c r="AG3" s="10" t="s">
        <v>43</v>
      </c>
      <c r="AH3" s="10" t="s">
        <v>43</v>
      </c>
      <c r="AI3" s="10" t="s">
        <v>43</v>
      </c>
      <c r="AJ3" s="10" t="s">
        <v>43</v>
      </c>
      <c r="AK3" s="10" t="s">
        <v>43</v>
      </c>
      <c r="AL3" s="10" t="s">
        <v>43</v>
      </c>
      <c r="AM3" s="10" t="s">
        <v>43</v>
      </c>
      <c r="AN3" s="10" t="s">
        <v>43</v>
      </c>
      <c r="AO3" s="10" t="s">
        <v>43</v>
      </c>
      <c r="AP3" s="10" t="s">
        <v>43</v>
      </c>
      <c r="AQ3" s="10" t="s">
        <v>43</v>
      </c>
      <c r="AR3" s="10" t="s">
        <v>43</v>
      </c>
      <c r="AS3" s="10" t="s">
        <v>43</v>
      </c>
      <c r="AT3" s="10" t="s">
        <v>43</v>
      </c>
      <c r="AU3" s="10" t="s">
        <v>43</v>
      </c>
      <c r="AV3" s="10" t="s">
        <v>43</v>
      </c>
    </row>
    <row r="4" spans="1:48" ht="43.5" x14ac:dyDescent="0.25">
      <c r="A4" s="5">
        <v>44</v>
      </c>
      <c r="B4" s="6" t="s">
        <v>58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7">
        <v>50</v>
      </c>
      <c r="K4" s="6" t="s">
        <v>24</v>
      </c>
      <c r="L4" s="8">
        <v>0.9</v>
      </c>
      <c r="M4" s="5"/>
      <c r="N4" s="6" t="s">
        <v>25</v>
      </c>
      <c r="O4" s="5"/>
      <c r="P4" s="6"/>
      <c r="Q4" s="6" t="s">
        <v>59</v>
      </c>
      <c r="R4" s="6" t="s">
        <v>60</v>
      </c>
      <c r="S4" s="6" t="s">
        <v>61</v>
      </c>
      <c r="T4" s="6" t="s">
        <v>62</v>
      </c>
      <c r="U4" s="6" t="s">
        <v>63</v>
      </c>
      <c r="V4" s="6" t="s">
        <v>64</v>
      </c>
      <c r="W4" s="6" t="s">
        <v>65</v>
      </c>
      <c r="X4" s="6" t="s">
        <v>66</v>
      </c>
      <c r="Y4" s="6" t="s">
        <v>67</v>
      </c>
      <c r="Z4" s="6" t="s">
        <v>68</v>
      </c>
      <c r="AA4" s="6" t="s">
        <v>69</v>
      </c>
      <c r="AB4" s="6" t="s">
        <v>70</v>
      </c>
      <c r="AC4" s="6" t="s">
        <v>71</v>
      </c>
      <c r="AD4" s="6" t="s">
        <v>40</v>
      </c>
      <c r="AE4" s="6" t="s">
        <v>72</v>
      </c>
      <c r="AF4" s="6" t="s">
        <v>72</v>
      </c>
      <c r="AG4" s="6" t="s">
        <v>43</v>
      </c>
      <c r="AH4" s="6" t="s">
        <v>43</v>
      </c>
      <c r="AI4" s="6" t="s">
        <v>43</v>
      </c>
      <c r="AJ4" s="6" t="s">
        <v>43</v>
      </c>
      <c r="AK4" s="6" t="s">
        <v>43</v>
      </c>
      <c r="AL4" s="6" t="s">
        <v>43</v>
      </c>
      <c r="AM4" s="6" t="s">
        <v>43</v>
      </c>
      <c r="AN4" s="6" t="s">
        <v>43</v>
      </c>
      <c r="AO4" s="6" t="s">
        <v>43</v>
      </c>
      <c r="AP4" s="6" t="s">
        <v>43</v>
      </c>
      <c r="AQ4" s="6" t="s">
        <v>43</v>
      </c>
      <c r="AR4" s="6" t="s">
        <v>43</v>
      </c>
      <c r="AS4" s="6" t="s">
        <v>73</v>
      </c>
      <c r="AT4" s="6" t="s">
        <v>43</v>
      </c>
      <c r="AU4" s="6" t="s">
        <v>73</v>
      </c>
      <c r="AV4" s="6" t="s">
        <v>73</v>
      </c>
    </row>
    <row r="5" spans="1:48" ht="43.5" x14ac:dyDescent="0.25">
      <c r="A5" s="9">
        <v>46</v>
      </c>
      <c r="B5" s="10" t="s">
        <v>74</v>
      </c>
      <c r="C5" s="10" t="s">
        <v>75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1">
        <v>58</v>
      </c>
      <c r="K5" s="10" t="s">
        <v>76</v>
      </c>
      <c r="L5" s="12">
        <v>0.95</v>
      </c>
      <c r="M5" s="9">
        <v>978</v>
      </c>
      <c r="N5" s="10" t="s">
        <v>25</v>
      </c>
      <c r="O5" s="9">
        <v>85</v>
      </c>
      <c r="P5" s="10" t="s">
        <v>26</v>
      </c>
      <c r="Q5" s="10" t="s">
        <v>77</v>
      </c>
      <c r="R5" s="10" t="s">
        <v>78</v>
      </c>
      <c r="S5" s="10" t="s">
        <v>79</v>
      </c>
      <c r="T5" s="10" t="s">
        <v>80</v>
      </c>
      <c r="U5" s="10" t="s">
        <v>81</v>
      </c>
      <c r="V5" s="10" t="s">
        <v>82</v>
      </c>
      <c r="W5" s="10" t="s">
        <v>83</v>
      </c>
      <c r="X5" s="10" t="s">
        <v>84</v>
      </c>
      <c r="Y5" s="10" t="s">
        <v>85</v>
      </c>
      <c r="Z5" s="10" t="s">
        <v>86</v>
      </c>
      <c r="AA5" s="10" t="s">
        <v>87</v>
      </c>
      <c r="AB5" s="10" t="s">
        <v>88</v>
      </c>
      <c r="AC5" s="10" t="s">
        <v>89</v>
      </c>
      <c r="AD5" s="10" t="s">
        <v>40</v>
      </c>
      <c r="AE5" s="10" t="s">
        <v>41</v>
      </c>
      <c r="AF5" s="10" t="s">
        <v>42</v>
      </c>
      <c r="AG5" s="10" t="s">
        <v>43</v>
      </c>
      <c r="AH5" s="10" t="s">
        <v>43</v>
      </c>
      <c r="AI5" s="10" t="s">
        <v>43</v>
      </c>
      <c r="AJ5" s="10" t="s">
        <v>43</v>
      </c>
      <c r="AK5" s="10" t="s">
        <v>43</v>
      </c>
      <c r="AL5" s="10" t="s">
        <v>43</v>
      </c>
      <c r="AM5" s="10" t="s">
        <v>43</v>
      </c>
      <c r="AN5" s="10" t="s">
        <v>43</v>
      </c>
      <c r="AO5" s="10" t="s">
        <v>43</v>
      </c>
      <c r="AP5" s="10" t="s">
        <v>43</v>
      </c>
      <c r="AQ5" s="10" t="s">
        <v>43</v>
      </c>
      <c r="AR5" s="10" t="s">
        <v>43</v>
      </c>
      <c r="AS5" s="10" t="s">
        <v>43</v>
      </c>
      <c r="AT5" s="10" t="s">
        <v>43</v>
      </c>
      <c r="AU5" s="10" t="s">
        <v>43</v>
      </c>
      <c r="AV5" s="10" t="s">
        <v>43</v>
      </c>
    </row>
    <row r="6" spans="1:48" ht="43.5" x14ac:dyDescent="0.25">
      <c r="A6" s="5">
        <v>52</v>
      </c>
      <c r="B6" s="6" t="s">
        <v>90</v>
      </c>
      <c r="C6" s="6" t="s">
        <v>75</v>
      </c>
      <c r="D6" s="6" t="s">
        <v>23</v>
      </c>
      <c r="E6" s="6" t="s">
        <v>19</v>
      </c>
      <c r="F6" s="6" t="s">
        <v>18</v>
      </c>
      <c r="G6" s="6" t="s">
        <v>22</v>
      </c>
      <c r="H6" s="6" t="s">
        <v>21</v>
      </c>
      <c r="I6" s="6" t="s">
        <v>20</v>
      </c>
      <c r="J6" s="7">
        <v>58</v>
      </c>
      <c r="K6" s="6" t="s">
        <v>76</v>
      </c>
      <c r="L6" s="8">
        <v>0.95</v>
      </c>
      <c r="M6" s="5"/>
      <c r="N6" s="6" t="s">
        <v>25</v>
      </c>
      <c r="O6" s="5"/>
      <c r="P6" s="6"/>
      <c r="Q6" s="6" t="s">
        <v>91</v>
      </c>
      <c r="R6" s="6" t="s">
        <v>92</v>
      </c>
      <c r="S6" s="6" t="s">
        <v>93</v>
      </c>
      <c r="T6" s="6" t="s">
        <v>94</v>
      </c>
      <c r="U6" s="6" t="s">
        <v>95</v>
      </c>
      <c r="V6" s="6" t="s">
        <v>96</v>
      </c>
      <c r="W6" s="6" t="s">
        <v>97</v>
      </c>
      <c r="X6" s="6" t="s">
        <v>98</v>
      </c>
      <c r="Y6" s="6" t="s">
        <v>99</v>
      </c>
      <c r="Z6" s="6" t="s">
        <v>100</v>
      </c>
      <c r="AA6" s="6" t="s">
        <v>101</v>
      </c>
      <c r="AB6" s="6" t="s">
        <v>102</v>
      </c>
      <c r="AC6" s="6" t="s">
        <v>103</v>
      </c>
      <c r="AD6" s="6" t="s">
        <v>40</v>
      </c>
      <c r="AE6" s="6" t="s">
        <v>104</v>
      </c>
      <c r="AF6" s="6" t="s">
        <v>104</v>
      </c>
      <c r="AG6" s="6" t="s">
        <v>43</v>
      </c>
      <c r="AH6" s="6" t="s">
        <v>43</v>
      </c>
      <c r="AI6" s="6" t="s">
        <v>43</v>
      </c>
      <c r="AJ6" s="6" t="s">
        <v>43</v>
      </c>
      <c r="AK6" s="6" t="s">
        <v>43</v>
      </c>
      <c r="AL6" s="6" t="s">
        <v>43</v>
      </c>
      <c r="AM6" s="6" t="s">
        <v>43</v>
      </c>
      <c r="AN6" s="6" t="s">
        <v>43</v>
      </c>
      <c r="AO6" s="6" t="s">
        <v>43</v>
      </c>
      <c r="AP6" s="6" t="s">
        <v>43</v>
      </c>
      <c r="AQ6" s="6" t="s">
        <v>43</v>
      </c>
      <c r="AR6" s="6" t="s">
        <v>43</v>
      </c>
      <c r="AS6" s="6" t="s">
        <v>73</v>
      </c>
      <c r="AT6" s="6" t="s">
        <v>43</v>
      </c>
      <c r="AU6" s="6" t="s">
        <v>73</v>
      </c>
      <c r="AV6" s="6" t="s">
        <v>73</v>
      </c>
    </row>
    <row r="7" spans="1:48" s="44" customFormat="1" ht="43.5" x14ac:dyDescent="0.25">
      <c r="A7" s="40">
        <v>54</v>
      </c>
      <c r="B7" s="41" t="s">
        <v>105</v>
      </c>
      <c r="C7" s="41" t="s">
        <v>17</v>
      </c>
      <c r="D7" s="41" t="s">
        <v>18</v>
      </c>
      <c r="E7" s="41" t="s">
        <v>19</v>
      </c>
      <c r="F7" s="41" t="s">
        <v>20</v>
      </c>
      <c r="G7" s="41" t="s">
        <v>21</v>
      </c>
      <c r="H7" s="41" t="s">
        <v>22</v>
      </c>
      <c r="I7" s="41" t="s">
        <v>23</v>
      </c>
      <c r="J7" s="42">
        <v>70</v>
      </c>
      <c r="K7" s="41" t="s">
        <v>106</v>
      </c>
      <c r="L7" s="43">
        <v>0.95</v>
      </c>
      <c r="M7" s="40"/>
      <c r="N7" s="41" t="s">
        <v>25</v>
      </c>
      <c r="O7" s="40"/>
      <c r="P7" s="41"/>
      <c r="Q7" s="41" t="s">
        <v>107</v>
      </c>
      <c r="R7" s="41" t="s">
        <v>108</v>
      </c>
      <c r="S7" s="41" t="s">
        <v>109</v>
      </c>
      <c r="T7" s="41" t="s">
        <v>110</v>
      </c>
      <c r="U7" s="41" t="s">
        <v>111</v>
      </c>
      <c r="V7" s="41" t="s">
        <v>112</v>
      </c>
      <c r="W7" s="41" t="s">
        <v>113</v>
      </c>
      <c r="X7" s="41" t="s">
        <v>114</v>
      </c>
      <c r="Y7" s="41" t="s">
        <v>115</v>
      </c>
      <c r="Z7" s="41" t="s">
        <v>116</v>
      </c>
      <c r="AA7" s="41" t="s">
        <v>117</v>
      </c>
      <c r="AB7" s="41" t="s">
        <v>118</v>
      </c>
      <c r="AC7" s="41" t="s">
        <v>119</v>
      </c>
      <c r="AD7" s="41" t="s">
        <v>40</v>
      </c>
      <c r="AE7" s="41" t="s">
        <v>120</v>
      </c>
      <c r="AF7" s="41" t="s">
        <v>120</v>
      </c>
      <c r="AG7" s="41" t="s">
        <v>43</v>
      </c>
      <c r="AH7" s="41" t="s">
        <v>43</v>
      </c>
      <c r="AI7" s="41" t="s">
        <v>43</v>
      </c>
      <c r="AJ7" s="41" t="s">
        <v>43</v>
      </c>
      <c r="AK7" s="41" t="s">
        <v>43</v>
      </c>
      <c r="AL7" s="41" t="s">
        <v>43</v>
      </c>
      <c r="AM7" s="41" t="s">
        <v>43</v>
      </c>
      <c r="AN7" s="41" t="s">
        <v>43</v>
      </c>
      <c r="AO7" s="41" t="s">
        <v>43</v>
      </c>
      <c r="AP7" s="41" t="s">
        <v>43</v>
      </c>
      <c r="AQ7" s="41" t="s">
        <v>43</v>
      </c>
      <c r="AR7" s="41" t="s">
        <v>43</v>
      </c>
      <c r="AS7" s="41" t="s">
        <v>73</v>
      </c>
      <c r="AT7" s="41" t="s">
        <v>43</v>
      </c>
      <c r="AU7" s="41" t="s">
        <v>73</v>
      </c>
      <c r="AV7" s="41" t="s">
        <v>73</v>
      </c>
    </row>
    <row r="8" spans="1:48" ht="43.5" x14ac:dyDescent="0.25">
      <c r="A8" s="5">
        <v>60</v>
      </c>
      <c r="B8" s="6" t="s">
        <v>121</v>
      </c>
      <c r="C8" s="6" t="s">
        <v>17</v>
      </c>
      <c r="D8" s="6" t="s">
        <v>18</v>
      </c>
      <c r="E8" s="6" t="s">
        <v>19</v>
      </c>
      <c r="F8" s="6" t="s">
        <v>20</v>
      </c>
      <c r="G8" s="6" t="s">
        <v>21</v>
      </c>
      <c r="H8" s="6" t="s">
        <v>22</v>
      </c>
      <c r="I8" s="6" t="s">
        <v>23</v>
      </c>
      <c r="J8" s="7">
        <v>68.5</v>
      </c>
      <c r="K8" s="6" t="s">
        <v>106</v>
      </c>
      <c r="L8" s="8">
        <v>0.95</v>
      </c>
      <c r="M8" s="5"/>
      <c r="N8" s="6" t="s">
        <v>25</v>
      </c>
      <c r="O8" s="5"/>
      <c r="P8" s="6"/>
      <c r="Q8" s="6" t="s">
        <v>122</v>
      </c>
      <c r="R8" s="6" t="s">
        <v>123</v>
      </c>
      <c r="S8" s="6" t="s">
        <v>124</v>
      </c>
      <c r="T8" s="6" t="s">
        <v>125</v>
      </c>
      <c r="U8" s="6" t="s">
        <v>126</v>
      </c>
      <c r="V8" s="6" t="s">
        <v>127</v>
      </c>
      <c r="W8" s="6" t="s">
        <v>128</v>
      </c>
      <c r="X8" s="6" t="s">
        <v>129</v>
      </c>
      <c r="Y8" s="6" t="s">
        <v>130</v>
      </c>
      <c r="Z8" s="6" t="s">
        <v>131</v>
      </c>
      <c r="AA8" s="6" t="s">
        <v>132</v>
      </c>
      <c r="AB8" s="6" t="s">
        <v>133</v>
      </c>
      <c r="AC8" s="6" t="s">
        <v>134</v>
      </c>
      <c r="AD8" s="6" t="s">
        <v>40</v>
      </c>
      <c r="AE8" s="6" t="s">
        <v>135</v>
      </c>
      <c r="AF8" s="6" t="s">
        <v>135</v>
      </c>
      <c r="AG8" s="6" t="s">
        <v>43</v>
      </c>
      <c r="AH8" s="6" t="s">
        <v>43</v>
      </c>
      <c r="AI8" s="6" t="s">
        <v>43</v>
      </c>
      <c r="AJ8" s="6" t="s">
        <v>43</v>
      </c>
      <c r="AK8" s="6" t="s">
        <v>43</v>
      </c>
      <c r="AL8" s="6" t="s">
        <v>43</v>
      </c>
      <c r="AM8" s="6" t="s">
        <v>43</v>
      </c>
      <c r="AN8" s="6" t="s">
        <v>43</v>
      </c>
      <c r="AO8" s="6" t="s">
        <v>43</v>
      </c>
      <c r="AP8" s="6" t="s">
        <v>43</v>
      </c>
      <c r="AQ8" s="6" t="s">
        <v>43</v>
      </c>
      <c r="AR8" s="6" t="s">
        <v>43</v>
      </c>
      <c r="AS8" s="6" t="s">
        <v>73</v>
      </c>
      <c r="AT8" s="6" t="s">
        <v>43</v>
      </c>
      <c r="AU8" s="6" t="s">
        <v>73</v>
      </c>
      <c r="AV8" s="6" t="s">
        <v>73</v>
      </c>
    </row>
    <row r="9" spans="1:48" s="44" customFormat="1" ht="43.5" x14ac:dyDescent="0.25">
      <c r="A9" s="40">
        <v>82</v>
      </c>
      <c r="B9" s="41" t="s">
        <v>136</v>
      </c>
      <c r="C9" s="41" t="s">
        <v>17</v>
      </c>
      <c r="D9" s="41" t="s">
        <v>18</v>
      </c>
      <c r="E9" s="41" t="s">
        <v>19</v>
      </c>
      <c r="F9" s="41" t="s">
        <v>20</v>
      </c>
      <c r="G9" s="41" t="s">
        <v>21</v>
      </c>
      <c r="H9" s="41" t="s">
        <v>22</v>
      </c>
      <c r="I9" s="41" t="s">
        <v>23</v>
      </c>
      <c r="J9" s="42">
        <v>90</v>
      </c>
      <c r="K9" s="41" t="s">
        <v>137</v>
      </c>
      <c r="L9" s="43">
        <v>1.1000000000000001</v>
      </c>
      <c r="M9" s="40"/>
      <c r="N9" s="41" t="s">
        <v>25</v>
      </c>
      <c r="O9" s="40"/>
      <c r="P9" s="41"/>
      <c r="Q9" s="41" t="s">
        <v>138</v>
      </c>
      <c r="R9" s="41" t="s">
        <v>139</v>
      </c>
      <c r="S9" s="41" t="s">
        <v>140</v>
      </c>
      <c r="T9" s="41" t="s">
        <v>141</v>
      </c>
      <c r="U9" s="41" t="s">
        <v>142</v>
      </c>
      <c r="V9" s="41" t="s">
        <v>143</v>
      </c>
      <c r="W9" s="41" t="s">
        <v>144</v>
      </c>
      <c r="X9" s="41" t="s">
        <v>145</v>
      </c>
      <c r="Y9" s="41" t="s">
        <v>146</v>
      </c>
      <c r="Z9" s="41" t="s">
        <v>147</v>
      </c>
      <c r="AA9" s="41" t="s">
        <v>148</v>
      </c>
      <c r="AB9" s="41" t="s">
        <v>149</v>
      </c>
      <c r="AC9" s="41" t="s">
        <v>150</v>
      </c>
      <c r="AD9" s="41" t="s">
        <v>40</v>
      </c>
      <c r="AE9" s="41" t="s">
        <v>151</v>
      </c>
      <c r="AF9" s="41" t="s">
        <v>151</v>
      </c>
      <c r="AG9" s="41" t="s">
        <v>43</v>
      </c>
      <c r="AH9" s="41" t="s">
        <v>43</v>
      </c>
      <c r="AI9" s="41" t="s">
        <v>43</v>
      </c>
      <c r="AJ9" s="41" t="s">
        <v>43</v>
      </c>
      <c r="AK9" s="41" t="s">
        <v>43</v>
      </c>
      <c r="AL9" s="41" t="s">
        <v>43</v>
      </c>
      <c r="AM9" s="41" t="s">
        <v>43</v>
      </c>
      <c r="AN9" s="41" t="s">
        <v>43</v>
      </c>
      <c r="AO9" s="41" t="s">
        <v>43</v>
      </c>
      <c r="AP9" s="41" t="s">
        <v>43</v>
      </c>
      <c r="AQ9" s="41" t="s">
        <v>43</v>
      </c>
      <c r="AR9" s="41" t="s">
        <v>43</v>
      </c>
      <c r="AS9" s="41" t="s">
        <v>73</v>
      </c>
      <c r="AT9" s="41" t="s">
        <v>43</v>
      </c>
      <c r="AU9" s="41" t="s">
        <v>73</v>
      </c>
      <c r="AV9" s="41" t="s">
        <v>73</v>
      </c>
    </row>
  </sheetData>
  <conditionalFormatting sqref="AG2:AV9">
    <cfRule type="expression" dxfId="10" priority="2">
      <formula>AG2="NS"</formula>
    </cfRule>
    <cfRule type="expression" dxfId="9" priority="3">
      <formula>AG2="RENSEIGNE"</formula>
    </cfRule>
    <cfRule type="expression" dxfId="8" priority="4">
      <formula>AG2="[HYP]"</formula>
    </cfRule>
  </conditionalFormatting>
  <dataValidations count="1">
    <dataValidation type="list" sqref="AG2:AV9" xr:uid="{00000000-0002-0000-0000-000000000000}">
      <formula1>"RENSEIGNE,NS,[HYP]"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zoomScale="104" zoomScaleNormal="111" workbookViewId="0">
      <pane ySplit="1" topLeftCell="A2" activePane="bottomLeft" state="frozen"/>
      <selection pane="bottomLeft" activeCell="H8" sqref="H8"/>
    </sheetView>
  </sheetViews>
  <sheetFormatPr defaultColWidth="8.453125" defaultRowHeight="12.5" x14ac:dyDescent="0.25"/>
  <cols>
    <col min="1" max="1" width="18" customWidth="1"/>
    <col min="2" max="2" width="24" customWidth="1"/>
    <col min="3" max="3" width="12" customWidth="1"/>
    <col min="4" max="4" width="24" customWidth="1"/>
    <col min="6" max="6" width="20" customWidth="1"/>
    <col min="7" max="7" width="26" customWidth="1"/>
    <col min="8" max="8" width="49" customWidth="1"/>
    <col min="9" max="9" width="16" customWidth="1"/>
  </cols>
  <sheetData>
    <row r="1" spans="1:9" ht="13" x14ac:dyDescent="0.25">
      <c r="A1" s="13" t="s">
        <v>152</v>
      </c>
      <c r="B1" s="13" t="s">
        <v>153</v>
      </c>
      <c r="C1" s="13" t="s">
        <v>154</v>
      </c>
      <c r="D1" s="13" t="s">
        <v>155</v>
      </c>
      <c r="E1" s="14"/>
      <c r="F1" s="15" t="s">
        <v>156</v>
      </c>
      <c r="G1" s="15" t="s">
        <v>157</v>
      </c>
      <c r="H1" s="15" t="s">
        <v>158</v>
      </c>
      <c r="I1" s="15" t="s">
        <v>159</v>
      </c>
    </row>
    <row r="2" spans="1:9" ht="13" x14ac:dyDescent="0.25">
      <c r="A2" s="16" t="s">
        <v>160</v>
      </c>
      <c r="B2" s="16" t="s">
        <v>17</v>
      </c>
      <c r="C2" s="16">
        <f>COUNTIF(Variantes!$C$2:$C$9,B2)</f>
        <v>6</v>
      </c>
      <c r="D2" s="16" t="str">
        <f t="shared" ref="D2:D13" si="0">IF(C2&gt;4,"Majorité stricte","Pas de majorité stricte")</f>
        <v>Majorité stricte</v>
      </c>
      <c r="E2" s="14"/>
      <c r="F2" s="17" t="s">
        <v>160</v>
      </c>
      <c r="G2" s="17" t="s">
        <v>161</v>
      </c>
      <c r="H2" s="17" t="s">
        <v>162</v>
      </c>
      <c r="I2" s="17" t="s">
        <v>163</v>
      </c>
    </row>
    <row r="3" spans="1:9" x14ac:dyDescent="0.25">
      <c r="A3" s="18" t="s">
        <v>160</v>
      </c>
      <c r="B3" s="18" t="s">
        <v>75</v>
      </c>
      <c r="C3" s="18">
        <f>COUNTIF(Variantes!$C$2:$C$9,B3)</f>
        <v>2</v>
      </c>
      <c r="D3" s="18" t="str">
        <f t="shared" si="0"/>
        <v>Pas de majorité stricte</v>
      </c>
      <c r="E3" s="14"/>
      <c r="F3" s="19" t="s">
        <v>164</v>
      </c>
      <c r="G3" s="19" t="s">
        <v>165</v>
      </c>
      <c r="H3" s="19" t="s">
        <v>166</v>
      </c>
      <c r="I3" s="19" t="s">
        <v>163</v>
      </c>
    </row>
    <row r="4" spans="1:9" x14ac:dyDescent="0.25">
      <c r="A4" s="16" t="s">
        <v>167</v>
      </c>
      <c r="B4" s="16" t="s">
        <v>24</v>
      </c>
      <c r="C4" s="16">
        <f>COUNTIF(Variantes!$K$2:$K$9,B4)</f>
        <v>3</v>
      </c>
      <c r="D4" s="16" t="str">
        <f t="shared" si="0"/>
        <v>Pas de majorité stricte</v>
      </c>
      <c r="E4" s="14"/>
      <c r="F4" s="17" t="s">
        <v>167</v>
      </c>
      <c r="G4" s="17" t="s">
        <v>168</v>
      </c>
      <c r="H4" s="17" t="s">
        <v>169</v>
      </c>
      <c r="I4" s="17" t="s">
        <v>163</v>
      </c>
    </row>
    <row r="5" spans="1:9" ht="15.5" customHeight="1" x14ac:dyDescent="0.25">
      <c r="A5" s="18" t="s">
        <v>167</v>
      </c>
      <c r="B5" s="18" t="s">
        <v>76</v>
      </c>
      <c r="C5" s="18">
        <f>COUNTIF(Variantes!$K$2:$K$9,B5)</f>
        <v>2</v>
      </c>
      <c r="D5" s="18" t="str">
        <f t="shared" si="0"/>
        <v>Pas de majorité stricte</v>
      </c>
      <c r="E5" s="14"/>
      <c r="F5" s="19" t="s">
        <v>170</v>
      </c>
      <c r="G5" s="19" t="s">
        <v>171</v>
      </c>
      <c r="H5" s="50" t="s">
        <v>346</v>
      </c>
      <c r="I5" s="19" t="s">
        <v>163</v>
      </c>
    </row>
    <row r="6" spans="1:9" x14ac:dyDescent="0.25">
      <c r="A6" s="16" t="s">
        <v>167</v>
      </c>
      <c r="B6" s="16" t="s">
        <v>106</v>
      </c>
      <c r="C6" s="16">
        <f>COUNTIF(Variantes!$K$2:$K$9,B6)</f>
        <v>2</v>
      </c>
      <c r="D6" s="16" t="str">
        <f t="shared" si="0"/>
        <v>Pas de majorité stricte</v>
      </c>
      <c r="E6" s="14"/>
      <c r="F6" s="17" t="s">
        <v>172</v>
      </c>
      <c r="G6" s="17" t="s">
        <v>173</v>
      </c>
      <c r="H6" s="17" t="s">
        <v>174</v>
      </c>
      <c r="I6" s="17" t="s">
        <v>163</v>
      </c>
    </row>
    <row r="7" spans="1:9" x14ac:dyDescent="0.25">
      <c r="A7" s="18" t="s">
        <v>167</v>
      </c>
      <c r="B7" s="18" t="s">
        <v>137</v>
      </c>
      <c r="C7" s="18">
        <f>COUNTIF(Variantes!$K$2:$K$9,B7)</f>
        <v>1</v>
      </c>
      <c r="D7" s="18" t="str">
        <f t="shared" si="0"/>
        <v>Pas de majorité stricte</v>
      </c>
      <c r="E7" s="14"/>
      <c r="F7" s="19" t="s">
        <v>175</v>
      </c>
      <c r="G7" s="19" t="s">
        <v>176</v>
      </c>
      <c r="H7" s="19" t="s">
        <v>177</v>
      </c>
      <c r="I7" s="19" t="s">
        <v>178</v>
      </c>
    </row>
    <row r="8" spans="1:9" x14ac:dyDescent="0.25">
      <c r="A8" s="16" t="s">
        <v>170</v>
      </c>
      <c r="B8" s="16">
        <v>40</v>
      </c>
      <c r="C8" s="16">
        <f>COUNTIF(Variantes!$J$2:$J$9,B8)</f>
        <v>1</v>
      </c>
      <c r="D8" s="16" t="str">
        <f t="shared" si="0"/>
        <v>Pas de majorité stricte</v>
      </c>
      <c r="E8" s="14"/>
      <c r="F8" s="17" t="s">
        <v>179</v>
      </c>
      <c r="G8" s="17" t="s">
        <v>180</v>
      </c>
      <c r="H8" s="17"/>
      <c r="I8" s="17" t="s">
        <v>163</v>
      </c>
    </row>
    <row r="9" spans="1:9" x14ac:dyDescent="0.25">
      <c r="A9" s="18" t="s">
        <v>170</v>
      </c>
      <c r="B9" s="18">
        <v>50</v>
      </c>
      <c r="C9" s="18">
        <f>COUNTIF(Variantes!$J$2:$J$9,B9)</f>
        <v>2</v>
      </c>
      <c r="D9" s="18" t="str">
        <f t="shared" si="0"/>
        <v>Pas de majorité stricte</v>
      </c>
      <c r="E9" s="14"/>
      <c r="F9" s="14"/>
      <c r="G9" s="14"/>
      <c r="H9" s="14"/>
      <c r="I9" s="14"/>
    </row>
    <row r="10" spans="1:9" x14ac:dyDescent="0.25">
      <c r="A10" s="16" t="s">
        <v>170</v>
      </c>
      <c r="B10" s="16">
        <v>58</v>
      </c>
      <c r="C10" s="16">
        <f>COUNTIF(Variantes!$J$2:$J$9,B10)</f>
        <v>2</v>
      </c>
      <c r="D10" s="16" t="str">
        <f t="shared" si="0"/>
        <v>Pas de majorité stricte</v>
      </c>
      <c r="E10" s="14"/>
      <c r="F10" s="14"/>
      <c r="G10" s="14"/>
      <c r="H10" s="14"/>
      <c r="I10" s="14"/>
    </row>
    <row r="11" spans="1:9" x14ac:dyDescent="0.25">
      <c r="A11" s="18" t="s">
        <v>170</v>
      </c>
      <c r="B11" s="18">
        <v>68.5</v>
      </c>
      <c r="C11" s="18">
        <f>COUNTIF(Variantes!$J$2:$J$9,B11)</f>
        <v>1</v>
      </c>
      <c r="D11" s="18" t="str">
        <f t="shared" si="0"/>
        <v>Pas de majorité stricte</v>
      </c>
      <c r="E11" s="14"/>
      <c r="F11" s="14"/>
      <c r="G11" s="14"/>
      <c r="H11" s="14"/>
      <c r="I11" s="14"/>
    </row>
    <row r="12" spans="1:9" x14ac:dyDescent="0.25">
      <c r="A12" s="16" t="s">
        <v>170</v>
      </c>
      <c r="B12" s="16">
        <v>70</v>
      </c>
      <c r="C12" s="16">
        <f>COUNTIF(Variantes!$J$2:$J$9,B12)</f>
        <v>1</v>
      </c>
      <c r="D12" s="16" t="str">
        <f t="shared" si="0"/>
        <v>Pas de majorité stricte</v>
      </c>
      <c r="E12" s="14"/>
      <c r="F12" s="14"/>
      <c r="G12" s="14"/>
      <c r="H12" s="14"/>
      <c r="I12" s="14"/>
    </row>
    <row r="13" spans="1:9" x14ac:dyDescent="0.25">
      <c r="A13" s="18" t="s">
        <v>170</v>
      </c>
      <c r="B13" s="18">
        <v>90</v>
      </c>
      <c r="C13" s="18">
        <f>COUNTIF(Variantes!$J$2:$J$9,B13)</f>
        <v>1</v>
      </c>
      <c r="D13" s="18" t="str">
        <f t="shared" si="0"/>
        <v>Pas de majorité stricte</v>
      </c>
      <c r="E13" s="14"/>
      <c r="F13" s="14"/>
      <c r="G13" s="14"/>
      <c r="H13" s="14"/>
      <c r="I13" s="14"/>
    </row>
  </sheetData>
  <conditionalFormatting sqref="D2:D13">
    <cfRule type="expression" dxfId="7" priority="2">
      <formula>D2="Majorité stricte"</formula>
    </cfRule>
    <cfRule type="expression" dxfId="6" priority="3">
      <formula>D2="Pas de majorité stricte"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="70" zoomScaleNormal="65" workbookViewId="0">
      <pane ySplit="1" topLeftCell="A2" activePane="bottomLeft" state="frozen"/>
      <selection activeCell="B1" sqref="B1"/>
      <selection pane="bottomLeft" activeCell="E5" sqref="E5"/>
    </sheetView>
  </sheetViews>
  <sheetFormatPr defaultColWidth="8.453125" defaultRowHeight="12.5" x14ac:dyDescent="0.25"/>
  <cols>
    <col min="1" max="1" width="10" customWidth="1"/>
    <col min="2" max="2" width="18" customWidth="1"/>
    <col min="3" max="3" width="38" customWidth="1"/>
    <col min="4" max="4" width="34" customWidth="1"/>
    <col min="5" max="5" width="42" customWidth="1"/>
    <col min="6" max="6" width="48" customWidth="1"/>
    <col min="7" max="7" width="42" customWidth="1"/>
    <col min="8" max="8" width="44" customWidth="1"/>
  </cols>
  <sheetData>
    <row r="1" spans="1:8" ht="13" x14ac:dyDescent="0.25">
      <c r="A1" s="20" t="s">
        <v>181</v>
      </c>
      <c r="B1" s="20" t="s">
        <v>152</v>
      </c>
      <c r="C1" s="20" t="s">
        <v>182</v>
      </c>
      <c r="D1" s="20" t="s">
        <v>153</v>
      </c>
      <c r="E1" s="20" t="s">
        <v>183</v>
      </c>
      <c r="F1" s="20" t="s">
        <v>184</v>
      </c>
      <c r="G1" s="20" t="s">
        <v>185</v>
      </c>
      <c r="H1" s="20" t="s">
        <v>186</v>
      </c>
    </row>
    <row r="2" spans="1:8" ht="25" x14ac:dyDescent="0.25">
      <c r="A2" s="21">
        <v>54</v>
      </c>
      <c r="B2" s="22" t="s">
        <v>160</v>
      </c>
      <c r="C2" s="22" t="s">
        <v>187</v>
      </c>
      <c r="D2" s="22" t="str">
        <f>Variantes!C7</f>
        <v>D261.205.358-01</v>
      </c>
      <c r="E2" s="22" t="s">
        <v>188</v>
      </c>
      <c r="F2" s="22" t="s">
        <v>189</v>
      </c>
      <c r="G2" s="22" t="s">
        <v>190</v>
      </c>
      <c r="H2" s="22" t="s">
        <v>109</v>
      </c>
    </row>
    <row r="3" spans="1:8" ht="25" x14ac:dyDescent="0.25">
      <c r="A3" s="21">
        <v>54</v>
      </c>
      <c r="B3" s="23" t="s">
        <v>191</v>
      </c>
      <c r="C3" s="23" t="s">
        <v>192</v>
      </c>
      <c r="D3" s="23" t="str">
        <f>Variantes!D7&amp;" ; "&amp;Variantes!E7&amp;" ; "&amp;Variantes!F7&amp;" ; "&amp;Variantes!G7&amp;" ; "&amp;Variantes!H7&amp;" ; "&amp;Variantes!I7</f>
        <v>Motor - ; Poti - ; Poti + ; Motor + ; Poti 2 ; Poti 1</v>
      </c>
      <c r="E3" s="23" t="s">
        <v>193</v>
      </c>
      <c r="F3" s="23" t="s">
        <v>194</v>
      </c>
      <c r="G3" s="23" t="s">
        <v>195</v>
      </c>
      <c r="H3" s="23" t="s">
        <v>196</v>
      </c>
    </row>
    <row r="4" spans="1:8" ht="25" x14ac:dyDescent="0.25">
      <c r="A4" s="21">
        <v>54</v>
      </c>
      <c r="B4" s="22" t="s">
        <v>170</v>
      </c>
      <c r="C4" s="22" t="s">
        <v>197</v>
      </c>
      <c r="D4" s="22" t="str">
        <f>TEXT(Variantes!J7,"0.0")&amp;" mm"</f>
        <v>7.0 mm</v>
      </c>
      <c r="E4" s="22" t="s">
        <v>198</v>
      </c>
      <c r="F4" s="22" t="s">
        <v>199</v>
      </c>
      <c r="G4" s="22" t="s">
        <v>200</v>
      </c>
      <c r="H4" s="22" t="s">
        <v>116</v>
      </c>
    </row>
    <row r="5" spans="1:8" ht="25" x14ac:dyDescent="0.25">
      <c r="A5" s="21">
        <v>54</v>
      </c>
      <c r="B5" s="23" t="s">
        <v>167</v>
      </c>
      <c r="C5" s="23" t="s">
        <v>201</v>
      </c>
      <c r="D5" s="23" t="str">
        <f>Variantes!K7</f>
        <v>60 x 60</v>
      </c>
      <c r="E5" s="23" t="s">
        <v>348</v>
      </c>
      <c r="F5" s="23" t="s">
        <v>202</v>
      </c>
      <c r="G5" s="23" t="s">
        <v>203</v>
      </c>
      <c r="H5" s="23" t="s">
        <v>117</v>
      </c>
    </row>
    <row r="6" spans="1:8" ht="25" x14ac:dyDescent="0.25">
      <c r="A6" s="21">
        <v>54</v>
      </c>
      <c r="B6" s="22" t="s">
        <v>172</v>
      </c>
      <c r="C6" s="22" t="s">
        <v>204</v>
      </c>
      <c r="D6" s="22" t="str">
        <f>TEXT(Variantes!A7,"0")&amp;" mm"</f>
        <v>54 mm</v>
      </c>
      <c r="E6" s="22" t="s">
        <v>205</v>
      </c>
      <c r="F6" s="22" t="s">
        <v>206</v>
      </c>
      <c r="G6" s="22" t="s">
        <v>207</v>
      </c>
      <c r="H6" s="22" t="s">
        <v>208</v>
      </c>
    </row>
    <row r="7" spans="1:8" ht="25" x14ac:dyDescent="0.25">
      <c r="A7" s="21">
        <v>54</v>
      </c>
      <c r="B7" s="23" t="s">
        <v>179</v>
      </c>
      <c r="C7" s="23" t="s">
        <v>209</v>
      </c>
      <c r="D7" s="23" t="str">
        <f>"NS"</f>
        <v>NS</v>
      </c>
      <c r="E7" s="23" t="s">
        <v>210</v>
      </c>
      <c r="F7" s="23" t="s">
        <v>211</v>
      </c>
      <c r="G7" s="23" t="s">
        <v>212</v>
      </c>
      <c r="H7" s="23" t="s">
        <v>119</v>
      </c>
    </row>
    <row r="8" spans="1:8" ht="25" x14ac:dyDescent="0.25">
      <c r="A8" s="21">
        <v>54</v>
      </c>
      <c r="B8" s="22" t="s">
        <v>213</v>
      </c>
      <c r="C8" s="22" t="s">
        <v>214</v>
      </c>
      <c r="D8" s="22" t="str">
        <f>Variantes!N7</f>
        <v>antihoraire (vue A)</v>
      </c>
      <c r="E8" s="22" t="s">
        <v>215</v>
      </c>
      <c r="F8" s="22" t="s">
        <v>216</v>
      </c>
      <c r="G8" s="22" t="s">
        <v>217</v>
      </c>
      <c r="H8" s="22" t="s">
        <v>218</v>
      </c>
    </row>
    <row r="9" spans="1:8" ht="25" x14ac:dyDescent="0.25">
      <c r="A9" s="21">
        <v>54</v>
      </c>
      <c r="B9" s="23" t="s">
        <v>219</v>
      </c>
      <c r="C9" s="23" t="s">
        <v>220</v>
      </c>
      <c r="D9" s="23" t="str">
        <f>TEXT(Variantes!L7,"0.00")&amp;" kg"</f>
        <v>0.01 kg</v>
      </c>
      <c r="E9" s="23" t="s">
        <v>221</v>
      </c>
      <c r="F9" s="23" t="s">
        <v>222</v>
      </c>
      <c r="G9" s="23" t="s">
        <v>223</v>
      </c>
      <c r="H9" s="23" t="s">
        <v>118</v>
      </c>
    </row>
    <row r="10" spans="1:8" ht="25" x14ac:dyDescent="0.25">
      <c r="A10" s="24">
        <v>82</v>
      </c>
      <c r="B10" s="22" t="s">
        <v>160</v>
      </c>
      <c r="C10" s="22" t="s">
        <v>187</v>
      </c>
      <c r="D10" s="22" t="str">
        <f>Variantes!C9</f>
        <v>D261.205.358-01</v>
      </c>
      <c r="E10" s="22" t="s">
        <v>188</v>
      </c>
      <c r="F10" s="22" t="s">
        <v>189</v>
      </c>
      <c r="G10" s="22" t="s">
        <v>190</v>
      </c>
      <c r="H10" s="22" t="s">
        <v>140</v>
      </c>
    </row>
    <row r="11" spans="1:8" ht="25" x14ac:dyDescent="0.25">
      <c r="A11" s="24">
        <v>82</v>
      </c>
      <c r="B11" s="23" t="s">
        <v>191</v>
      </c>
      <c r="C11" s="23" t="s">
        <v>192</v>
      </c>
      <c r="D11" s="23" t="str">
        <f>Variantes!D9&amp;" ; "&amp;Variantes!E9&amp;" ; "&amp;Variantes!F9&amp;" ; "&amp;Variantes!G9&amp;" ; "&amp;Variantes!H9&amp;" ; "&amp;Variantes!I9</f>
        <v>Motor - ; Poti - ; Poti + ; Motor + ; Poti 2 ; Poti 1</v>
      </c>
      <c r="E11" s="23" t="s">
        <v>193</v>
      </c>
      <c r="F11" s="23" t="s">
        <v>194</v>
      </c>
      <c r="G11" s="23" t="s">
        <v>195</v>
      </c>
      <c r="H11" s="23" t="s">
        <v>224</v>
      </c>
    </row>
    <row r="12" spans="1:8" ht="25" x14ac:dyDescent="0.25">
      <c r="A12" s="24">
        <v>82</v>
      </c>
      <c r="B12" s="22" t="s">
        <v>170</v>
      </c>
      <c r="C12" s="22" t="s">
        <v>197</v>
      </c>
      <c r="D12" s="22" t="str">
        <f>TEXT(Variantes!J9,"0.0")&amp;" mm"</f>
        <v>9.0 mm</v>
      </c>
      <c r="E12" s="22" t="s">
        <v>225</v>
      </c>
      <c r="F12" s="22" t="s">
        <v>199</v>
      </c>
      <c r="G12" s="22" t="s">
        <v>200</v>
      </c>
      <c r="H12" s="22" t="s">
        <v>147</v>
      </c>
    </row>
    <row r="13" spans="1:8" ht="25" x14ac:dyDescent="0.25">
      <c r="A13" s="24">
        <v>82</v>
      </c>
      <c r="B13" s="23" t="s">
        <v>167</v>
      </c>
      <c r="C13" s="23" t="s">
        <v>201</v>
      </c>
      <c r="D13" s="23" t="str">
        <f>Variantes!K9</f>
        <v>75 x 75</v>
      </c>
      <c r="E13" s="23" t="s">
        <v>226</v>
      </c>
      <c r="F13" s="23" t="s">
        <v>227</v>
      </c>
      <c r="G13" s="23" t="s">
        <v>203</v>
      </c>
      <c r="H13" s="23" t="s">
        <v>148</v>
      </c>
    </row>
    <row r="14" spans="1:8" ht="25" x14ac:dyDescent="0.25">
      <c r="A14" s="24">
        <v>82</v>
      </c>
      <c r="B14" s="22" t="s">
        <v>172</v>
      </c>
      <c r="C14" s="22" t="s">
        <v>204</v>
      </c>
      <c r="D14" s="22" t="str">
        <f>TEXT(Variantes!A9,"0")&amp;" mm"</f>
        <v>82 mm</v>
      </c>
      <c r="E14" s="22" t="s">
        <v>228</v>
      </c>
      <c r="F14" s="22" t="s">
        <v>206</v>
      </c>
      <c r="G14" s="22" t="s">
        <v>207</v>
      </c>
      <c r="H14" s="22" t="s">
        <v>229</v>
      </c>
    </row>
    <row r="15" spans="1:8" ht="25" x14ac:dyDescent="0.25">
      <c r="A15" s="24">
        <v>82</v>
      </c>
      <c r="B15" s="23" t="s">
        <v>179</v>
      </c>
      <c r="C15" s="23" t="s">
        <v>209</v>
      </c>
      <c r="D15" s="23" t="str">
        <f>"NS"</f>
        <v>NS</v>
      </c>
      <c r="E15" s="23" t="s">
        <v>230</v>
      </c>
      <c r="F15" s="23" t="s">
        <v>211</v>
      </c>
      <c r="G15" s="23" t="s">
        <v>212</v>
      </c>
      <c r="H15" s="23" t="s">
        <v>150</v>
      </c>
    </row>
    <row r="16" spans="1:8" ht="25" x14ac:dyDescent="0.25">
      <c r="A16" s="24">
        <v>82</v>
      </c>
      <c r="B16" s="22" t="s">
        <v>213</v>
      </c>
      <c r="C16" s="22" t="s">
        <v>214</v>
      </c>
      <c r="D16" s="22" t="str">
        <f>Variantes!N9</f>
        <v>antihoraire (vue A)</v>
      </c>
      <c r="E16" s="22" t="s">
        <v>215</v>
      </c>
      <c r="F16" s="22" t="s">
        <v>216</v>
      </c>
      <c r="G16" s="22" t="s">
        <v>217</v>
      </c>
      <c r="H16" s="22" t="s">
        <v>218</v>
      </c>
    </row>
    <row r="17" spans="1:8" ht="25" x14ac:dyDescent="0.25">
      <c r="A17" s="24">
        <v>82</v>
      </c>
      <c r="B17" s="23" t="s">
        <v>219</v>
      </c>
      <c r="C17" s="23" t="s">
        <v>220</v>
      </c>
      <c r="D17" s="23" t="str">
        <f>TEXT(Variantes!L9,"0.00")&amp;" kg"</f>
        <v>0.01 kg</v>
      </c>
      <c r="E17" s="23" t="s">
        <v>231</v>
      </c>
      <c r="F17" s="23" t="s">
        <v>222</v>
      </c>
      <c r="G17" s="23" t="s">
        <v>223</v>
      </c>
      <c r="H17" s="23" t="s">
        <v>149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zoomScale="70" zoomScaleNormal="65" workbookViewId="0">
      <pane ySplit="1" topLeftCell="A2" activePane="bottomLeft" state="frozen"/>
      <selection pane="bottomLeft" activeCell="G15" sqref="G15"/>
    </sheetView>
  </sheetViews>
  <sheetFormatPr defaultColWidth="8.453125" defaultRowHeight="12.5" x14ac:dyDescent="0.25"/>
  <cols>
    <col min="1" max="1" width="23" customWidth="1"/>
    <col min="2" max="2" width="42" customWidth="1"/>
    <col min="3" max="3" width="36" customWidth="1"/>
    <col min="4" max="4" width="46" customWidth="1"/>
    <col min="5" max="5" width="52" customWidth="1"/>
    <col min="6" max="6" width="12" customWidth="1"/>
    <col min="7" max="7" width="48" customWidth="1"/>
    <col min="8" max="8" width="28" customWidth="1"/>
    <col min="16384" max="16384" width="11.54296875" customWidth="1"/>
  </cols>
  <sheetData>
    <row r="1" spans="1:8" ht="13" x14ac:dyDescent="0.25">
      <c r="A1" s="25" t="s">
        <v>232</v>
      </c>
      <c r="B1" s="25" t="s">
        <v>233</v>
      </c>
      <c r="C1" s="25" t="s">
        <v>234</v>
      </c>
      <c r="D1" s="25" t="s">
        <v>235</v>
      </c>
      <c r="E1" s="25" t="s">
        <v>236</v>
      </c>
      <c r="F1" s="25" t="s">
        <v>237</v>
      </c>
      <c r="G1" s="25" t="s">
        <v>185</v>
      </c>
      <c r="H1" s="25" t="s">
        <v>186</v>
      </c>
    </row>
    <row r="2" spans="1:8" ht="37.5" x14ac:dyDescent="0.25">
      <c r="A2" s="26" t="s">
        <v>238</v>
      </c>
      <c r="B2" s="26" t="s">
        <v>239</v>
      </c>
      <c r="C2" s="51" t="s">
        <v>347</v>
      </c>
      <c r="D2" s="26" t="s">
        <v>241</v>
      </c>
      <c r="E2" s="26" t="s">
        <v>242</v>
      </c>
      <c r="F2" s="27">
        <v>1</v>
      </c>
      <c r="G2" s="26" t="s">
        <v>243</v>
      </c>
      <c r="H2" s="26" t="s">
        <v>244</v>
      </c>
    </row>
    <row r="3" spans="1:8" ht="37.5" x14ac:dyDescent="0.25">
      <c r="A3" s="26" t="s">
        <v>238</v>
      </c>
      <c r="B3" s="26" t="s">
        <v>239</v>
      </c>
      <c r="C3" s="26" t="s">
        <v>240</v>
      </c>
      <c r="D3" s="26" t="s">
        <v>241</v>
      </c>
      <c r="E3" s="26" t="s">
        <v>245</v>
      </c>
      <c r="F3" s="27">
        <v>2</v>
      </c>
      <c r="G3" s="26" t="s">
        <v>246</v>
      </c>
      <c r="H3" s="26" t="s">
        <v>244</v>
      </c>
    </row>
    <row r="4" spans="1:8" ht="37.5" x14ac:dyDescent="0.25">
      <c r="A4" s="26" t="s">
        <v>238</v>
      </c>
      <c r="B4" s="26" t="s">
        <v>239</v>
      </c>
      <c r="C4" s="26" t="s">
        <v>240</v>
      </c>
      <c r="D4" s="26" t="s">
        <v>241</v>
      </c>
      <c r="E4" s="26" t="s">
        <v>247</v>
      </c>
      <c r="F4" s="27">
        <v>3</v>
      </c>
      <c r="G4" s="26" t="s">
        <v>248</v>
      </c>
      <c r="H4" s="26" t="s">
        <v>244</v>
      </c>
    </row>
    <row r="5" spans="1:8" ht="37.5" x14ac:dyDescent="0.25">
      <c r="A5" s="28" t="s">
        <v>249</v>
      </c>
      <c r="B5" s="28" t="s">
        <v>250</v>
      </c>
      <c r="C5" s="28" t="s">
        <v>251</v>
      </c>
      <c r="D5" s="28" t="s">
        <v>252</v>
      </c>
      <c r="E5" s="28" t="s">
        <v>253</v>
      </c>
      <c r="F5" s="27">
        <v>1</v>
      </c>
      <c r="G5" s="28" t="s">
        <v>254</v>
      </c>
      <c r="H5" s="28" t="s">
        <v>244</v>
      </c>
    </row>
    <row r="6" spans="1:8" ht="37.5" x14ac:dyDescent="0.25">
      <c r="A6" s="28" t="s">
        <v>249</v>
      </c>
      <c r="B6" s="28" t="s">
        <v>250</v>
      </c>
      <c r="C6" s="28" t="s">
        <v>251</v>
      </c>
      <c r="D6" s="28" t="s">
        <v>252</v>
      </c>
      <c r="E6" s="28" t="s">
        <v>255</v>
      </c>
      <c r="F6" s="27">
        <v>2</v>
      </c>
      <c r="G6" s="28" t="s">
        <v>256</v>
      </c>
      <c r="H6" s="28" t="s">
        <v>244</v>
      </c>
    </row>
    <row r="7" spans="1:8" ht="37.5" x14ac:dyDescent="0.25">
      <c r="A7" s="28" t="s">
        <v>249</v>
      </c>
      <c r="B7" s="28" t="s">
        <v>250</v>
      </c>
      <c r="C7" s="28" t="s">
        <v>251</v>
      </c>
      <c r="D7" s="28" t="s">
        <v>252</v>
      </c>
      <c r="E7" s="28" t="s">
        <v>257</v>
      </c>
      <c r="F7" s="27">
        <v>3</v>
      </c>
      <c r="G7" s="28" t="s">
        <v>258</v>
      </c>
      <c r="H7" s="28" t="s">
        <v>244</v>
      </c>
    </row>
    <row r="8" spans="1:8" ht="37.5" x14ac:dyDescent="0.25">
      <c r="A8" s="29" t="s">
        <v>259</v>
      </c>
      <c r="B8" s="29" t="s">
        <v>260</v>
      </c>
      <c r="C8" s="29" t="s">
        <v>261</v>
      </c>
      <c r="D8" s="29" t="s">
        <v>262</v>
      </c>
      <c r="E8" s="29" t="s">
        <v>263</v>
      </c>
      <c r="F8" s="27">
        <v>1</v>
      </c>
      <c r="G8" s="29" t="s">
        <v>264</v>
      </c>
      <c r="H8" s="29" t="s">
        <v>265</v>
      </c>
    </row>
    <row r="9" spans="1:8" ht="37.5" x14ac:dyDescent="0.25">
      <c r="A9" s="29" t="s">
        <v>259</v>
      </c>
      <c r="B9" s="29" t="s">
        <v>260</v>
      </c>
      <c r="C9" s="29" t="s">
        <v>261</v>
      </c>
      <c r="D9" s="29" t="s">
        <v>262</v>
      </c>
      <c r="E9" s="29" t="s">
        <v>266</v>
      </c>
      <c r="F9" s="27">
        <v>2</v>
      </c>
      <c r="G9" s="29" t="s">
        <v>267</v>
      </c>
      <c r="H9" s="29" t="s">
        <v>265</v>
      </c>
    </row>
    <row r="10" spans="1:8" ht="37.5" x14ac:dyDescent="0.25">
      <c r="A10" s="29" t="s">
        <v>259</v>
      </c>
      <c r="B10" s="29" t="s">
        <v>260</v>
      </c>
      <c r="C10" s="29" t="s">
        <v>261</v>
      </c>
      <c r="D10" s="29" t="s">
        <v>262</v>
      </c>
      <c r="E10" s="29" t="s">
        <v>268</v>
      </c>
      <c r="F10" s="27">
        <v>3</v>
      </c>
      <c r="G10" s="29" t="s">
        <v>269</v>
      </c>
      <c r="H10" s="29" t="s">
        <v>265</v>
      </c>
    </row>
    <row r="13" spans="1:8" ht="13" x14ac:dyDescent="0.25">
      <c r="A13" s="52" t="s">
        <v>270</v>
      </c>
      <c r="B13" s="30" t="s">
        <v>271</v>
      </c>
      <c r="C13" s="30" t="s">
        <v>272</v>
      </c>
    </row>
    <row r="14" spans="1:8" x14ac:dyDescent="0.25">
      <c r="A14" s="31">
        <v>1</v>
      </c>
      <c r="B14" s="31" t="s">
        <v>273</v>
      </c>
      <c r="C14" s="31" t="s">
        <v>274</v>
      </c>
    </row>
    <row r="15" spans="1:8" ht="25" x14ac:dyDescent="0.25">
      <c r="A15" s="31">
        <v>2</v>
      </c>
      <c r="B15" s="31" t="s">
        <v>275</v>
      </c>
      <c r="C15" s="31" t="s">
        <v>276</v>
      </c>
    </row>
    <row r="16" spans="1:8" ht="25" x14ac:dyDescent="0.25">
      <c r="A16" s="31">
        <v>3</v>
      </c>
      <c r="B16" s="31" t="s">
        <v>277</v>
      </c>
      <c r="C16" s="31" t="s">
        <v>278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tabSelected="1" zoomScale="65" zoomScaleNormal="65" workbookViewId="0">
      <pane ySplit="1" topLeftCell="A2" activePane="bottomLeft" state="frozen"/>
      <selection pane="bottomLeft" activeCell="D20" sqref="D20"/>
    </sheetView>
  </sheetViews>
  <sheetFormatPr defaultColWidth="8.453125" defaultRowHeight="15.5" x14ac:dyDescent="0.25"/>
  <cols>
    <col min="1" max="1" width="24.36328125" style="32" customWidth="1"/>
    <col min="2" max="2" width="19.453125" style="33" customWidth="1"/>
    <col min="3" max="3" width="38" style="33" customWidth="1"/>
    <col min="4" max="4" width="26" style="33" customWidth="1"/>
    <col min="5" max="5" width="72" style="32" customWidth="1"/>
    <col min="6" max="6" width="14" style="33" customWidth="1"/>
    <col min="7" max="7" width="18" style="33" customWidth="1"/>
    <col min="8" max="16384" width="8.453125" style="33"/>
  </cols>
  <sheetData>
    <row r="1" spans="1:7" x14ac:dyDescent="0.25">
      <c r="A1" s="34" t="s">
        <v>279</v>
      </c>
      <c r="B1" s="35" t="s">
        <v>181</v>
      </c>
      <c r="C1" s="35" t="s">
        <v>280</v>
      </c>
      <c r="D1" s="35" t="s">
        <v>281</v>
      </c>
      <c r="E1" s="34" t="s">
        <v>282</v>
      </c>
      <c r="F1" s="35" t="s">
        <v>283</v>
      </c>
      <c r="G1" s="35" t="s">
        <v>284</v>
      </c>
    </row>
    <row r="2" spans="1:7" ht="31" x14ac:dyDescent="0.25">
      <c r="A2" s="36" t="s">
        <v>285</v>
      </c>
      <c r="B2" s="37" t="s">
        <v>286</v>
      </c>
      <c r="C2" s="37" t="s">
        <v>287</v>
      </c>
      <c r="D2" s="37" t="s">
        <v>288</v>
      </c>
      <c r="E2" s="36" t="s">
        <v>289</v>
      </c>
      <c r="F2" s="37" t="s">
        <v>290</v>
      </c>
      <c r="G2" s="37" t="s">
        <v>291</v>
      </c>
    </row>
    <row r="3" spans="1:7" ht="31" x14ac:dyDescent="0.25">
      <c r="A3" s="38" t="s">
        <v>292</v>
      </c>
      <c r="B3" s="39" t="s">
        <v>286</v>
      </c>
      <c r="C3" s="39" t="s">
        <v>293</v>
      </c>
      <c r="D3" s="39" t="s">
        <v>294</v>
      </c>
      <c r="E3" s="38" t="s">
        <v>295</v>
      </c>
      <c r="F3" s="39" t="s">
        <v>290</v>
      </c>
      <c r="G3" s="39" t="s">
        <v>291</v>
      </c>
    </row>
    <row r="4" spans="1:7" ht="31" x14ac:dyDescent="0.25">
      <c r="A4" s="36" t="s">
        <v>296</v>
      </c>
      <c r="B4" s="37" t="s">
        <v>286</v>
      </c>
      <c r="C4" s="37" t="s">
        <v>297</v>
      </c>
      <c r="D4" s="37" t="s">
        <v>298</v>
      </c>
      <c r="E4" s="36" t="s">
        <v>299</v>
      </c>
      <c r="F4" s="37" t="s">
        <v>290</v>
      </c>
      <c r="G4" s="37" t="s">
        <v>291</v>
      </c>
    </row>
    <row r="5" spans="1:7" ht="31" x14ac:dyDescent="0.25">
      <c r="A5" s="38" t="s">
        <v>300</v>
      </c>
      <c r="B5" s="39" t="s">
        <v>286</v>
      </c>
      <c r="C5" s="39" t="s">
        <v>301</v>
      </c>
      <c r="D5" s="39" t="s">
        <v>302</v>
      </c>
      <c r="E5" s="38" t="s">
        <v>303</v>
      </c>
      <c r="F5" s="39" t="s">
        <v>290</v>
      </c>
      <c r="G5" s="39" t="s">
        <v>291</v>
      </c>
    </row>
    <row r="6" spans="1:7" ht="31" x14ac:dyDescent="0.25">
      <c r="A6" s="36" t="s">
        <v>304</v>
      </c>
      <c r="B6" s="37" t="s">
        <v>286</v>
      </c>
      <c r="C6" s="37" t="s">
        <v>305</v>
      </c>
      <c r="D6" s="37" t="s">
        <v>306</v>
      </c>
      <c r="E6" s="36" t="s">
        <v>307</v>
      </c>
      <c r="F6" s="37" t="s">
        <v>290</v>
      </c>
      <c r="G6" s="37" t="s">
        <v>291</v>
      </c>
    </row>
    <row r="7" spans="1:7" ht="31" x14ac:dyDescent="0.25">
      <c r="A7" s="38" t="s">
        <v>308</v>
      </c>
      <c r="B7" s="39" t="s">
        <v>286</v>
      </c>
      <c r="C7" s="39" t="s">
        <v>309</v>
      </c>
      <c r="D7" s="39" t="s">
        <v>310</v>
      </c>
      <c r="E7" s="38" t="s">
        <v>311</v>
      </c>
      <c r="F7" s="39" t="s">
        <v>290</v>
      </c>
      <c r="G7" s="39" t="s">
        <v>291</v>
      </c>
    </row>
    <row r="8" spans="1:7" ht="31" x14ac:dyDescent="0.25">
      <c r="A8" s="36" t="s">
        <v>312</v>
      </c>
      <c r="B8" s="37" t="s">
        <v>286</v>
      </c>
      <c r="C8" s="37" t="s">
        <v>313</v>
      </c>
      <c r="D8" s="37" t="s">
        <v>314</v>
      </c>
      <c r="E8" s="36" t="s">
        <v>315</v>
      </c>
      <c r="F8" s="37" t="s">
        <v>290</v>
      </c>
      <c r="G8" s="37" t="s">
        <v>291</v>
      </c>
    </row>
    <row r="9" spans="1:7" ht="31" x14ac:dyDescent="0.25">
      <c r="A9" s="38" t="s">
        <v>316</v>
      </c>
      <c r="B9" s="39" t="s">
        <v>286</v>
      </c>
      <c r="C9" s="39" t="s">
        <v>317</v>
      </c>
      <c r="D9" s="39" t="s">
        <v>318</v>
      </c>
      <c r="E9" s="38" t="s">
        <v>319</v>
      </c>
      <c r="F9" s="39" t="s">
        <v>290</v>
      </c>
      <c r="G9" s="39" t="s">
        <v>291</v>
      </c>
    </row>
    <row r="10" spans="1:7" ht="31" x14ac:dyDescent="0.25">
      <c r="A10" s="36" t="s">
        <v>320</v>
      </c>
      <c r="B10" s="37" t="s">
        <v>286</v>
      </c>
      <c r="C10" s="37" t="s">
        <v>321</v>
      </c>
      <c r="D10" s="37" t="s">
        <v>322</v>
      </c>
      <c r="E10" s="36" t="s">
        <v>323</v>
      </c>
      <c r="F10" s="37" t="s">
        <v>324</v>
      </c>
      <c r="G10" s="37" t="s">
        <v>291</v>
      </c>
    </row>
    <row r="11" spans="1:7" ht="31" x14ac:dyDescent="0.25">
      <c r="A11" s="38" t="s">
        <v>325</v>
      </c>
      <c r="B11" s="39" t="s">
        <v>286</v>
      </c>
      <c r="C11" s="39" t="s">
        <v>326</v>
      </c>
      <c r="D11" s="39" t="s">
        <v>327</v>
      </c>
      <c r="E11" s="38" t="s">
        <v>328</v>
      </c>
      <c r="F11" s="39" t="s">
        <v>324</v>
      </c>
      <c r="G11" s="39" t="s">
        <v>291</v>
      </c>
    </row>
    <row r="12" spans="1:7" ht="31" x14ac:dyDescent="0.25">
      <c r="A12" s="36" t="s">
        <v>329</v>
      </c>
      <c r="B12" s="37" t="s">
        <v>286</v>
      </c>
      <c r="C12" s="37" t="s">
        <v>330</v>
      </c>
      <c r="D12" s="37" t="s">
        <v>331</v>
      </c>
      <c r="E12" s="36" t="s">
        <v>332</v>
      </c>
      <c r="F12" s="37" t="s">
        <v>290</v>
      </c>
      <c r="G12" s="37" t="s">
        <v>291</v>
      </c>
    </row>
    <row r="13" spans="1:7" ht="31" x14ac:dyDescent="0.25">
      <c r="A13" s="38" t="s">
        <v>333</v>
      </c>
      <c r="B13" s="39" t="s">
        <v>286</v>
      </c>
      <c r="C13" s="39" t="s">
        <v>334</v>
      </c>
      <c r="D13" s="39" t="s">
        <v>335</v>
      </c>
      <c r="E13" s="38" t="s">
        <v>336</v>
      </c>
      <c r="F13" s="39" t="s">
        <v>324</v>
      </c>
      <c r="G13" s="39" t="s">
        <v>291</v>
      </c>
    </row>
    <row r="14" spans="1:7" ht="31" x14ac:dyDescent="0.25">
      <c r="A14" s="36" t="s">
        <v>337</v>
      </c>
      <c r="B14" s="37" t="s">
        <v>286</v>
      </c>
      <c r="C14" s="37" t="s">
        <v>338</v>
      </c>
      <c r="D14" s="37" t="s">
        <v>339</v>
      </c>
      <c r="E14" s="36" t="s">
        <v>340</v>
      </c>
      <c r="F14" s="37" t="s">
        <v>290</v>
      </c>
      <c r="G14" s="37" t="s">
        <v>291</v>
      </c>
    </row>
    <row r="15" spans="1:7" ht="31" x14ac:dyDescent="0.25">
      <c r="A15" s="38" t="s">
        <v>341</v>
      </c>
      <c r="B15" s="39" t="s">
        <v>342</v>
      </c>
      <c r="C15" s="39" t="s">
        <v>343</v>
      </c>
      <c r="D15" s="39" t="s">
        <v>344</v>
      </c>
      <c r="E15" s="38" t="s">
        <v>345</v>
      </c>
      <c r="F15" s="39" t="s">
        <v>324</v>
      </c>
      <c r="G15" s="39" t="s">
        <v>291</v>
      </c>
    </row>
  </sheetData>
  <conditionalFormatting sqref="F2:F15">
    <cfRule type="expression" dxfId="5" priority="2">
      <formula>F2="Haute"</formula>
    </cfRule>
    <cfRule type="expression" dxfId="4" priority="3">
      <formula>F2="Moyenne"</formula>
    </cfRule>
    <cfRule type="expression" dxfId="3" priority="4">
      <formula>F2="Basse"</formula>
    </cfRule>
  </conditionalFormatting>
  <conditionalFormatting sqref="G2:G15">
    <cfRule type="expression" dxfId="2" priority="5">
      <formula>G2="À demander"</formula>
    </cfRule>
    <cfRule type="expression" dxfId="1" priority="6">
      <formula>G2="Réponse reçue"</formula>
    </cfRule>
    <cfRule type="expression" dxfId="0" priority="7">
      <formula>G2="Clos"</formula>
    </cfRule>
  </conditionalFormatting>
  <dataValidations count="2">
    <dataValidation type="list" sqref="F2:F15" xr:uid="{00000000-0002-0000-0400-000000000000}">
      <formula1>"Haute,Moyenne,Basse"</formula1>
      <formula2>0</formula2>
    </dataValidation>
    <dataValidation type="list" sqref="G2:G15" xr:uid="{00000000-0002-0000-0400-000001000000}">
      <formula1>"À demander,Demandé,Réponse reçue,Clos"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Variantes</vt:lpstr>
      <vt:lpstr>Majorites</vt:lpstr>
      <vt:lpstr>Ecarts</vt:lpstr>
      <vt:lpstr>Risques</vt:lpstr>
      <vt:lpstr>Lacunes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Younes Arouk</cp:lastModifiedBy>
  <cp:revision>2</cp:revision>
  <dcterms:modified xsi:type="dcterms:W3CDTF">2026-10-13T15:06:38Z</dcterms:modified>
  <dc:language>fr-FR</dc:language>
</cp:coreProperties>
</file>