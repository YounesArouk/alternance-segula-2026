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ntes" sheetId="1" state="visible" r:id="rId3"/>
    <sheet name="Majorites" sheetId="2" state="visible" r:id="rId4"/>
    <sheet name="Ecarts" sheetId="3" state="visible" r:id="rId5"/>
    <sheet name="Risques" sheetId="4" state="visible" r:id="rId6"/>
    <sheet name="Lacune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<sst xmlns="http://schemas.openxmlformats.org/spreadsheetml/2006/main" count="682" uniqueCount="340">
  <si>
    <t xml:space="preserve">alesage_mm</t>
  </si>
  <si>
    <t xml:space="preserve">reference_commande</t>
  </si>
  <si>
    <t xml:space="preserve">connecteur</t>
  </si>
  <si>
    <t xml:space="preserve">broche_1</t>
  </si>
  <si>
    <t xml:space="preserve">broche_2</t>
  </si>
  <si>
    <t xml:space="preserve">broche_3</t>
  </si>
  <si>
    <t xml:space="preserve">broche_4</t>
  </si>
  <si>
    <t xml:space="preserve">broche_5</t>
  </si>
  <si>
    <t xml:space="preserve">broche_6</t>
  </si>
  <si>
    <t xml:space="preserve">bride_mm</t>
  </si>
  <si>
    <t xml:space="preserve">fixation_mm</t>
  </si>
  <si>
    <t xml:space="preserve">masse_kg</t>
  </si>
  <si>
    <t xml:space="preserve">debit_max_kg_h</t>
  </si>
  <si>
    <t xml:space="preserve">sens_ouverture</t>
  </si>
  <si>
    <t xml:space="preserve">angle_debit_deg</t>
  </si>
  <si>
    <t xml:space="preserve">conditions_debit</t>
  </si>
  <si>
    <t xml:space="preserve">0280.750.148</t>
  </si>
  <si>
    <t xml:space="preserve">D261.205.358-01</t>
  </si>
  <si>
    <t xml:space="preserve">Motor -</t>
  </si>
  <si>
    <t xml:space="preserve">Poti -</t>
  </si>
  <si>
    <t xml:space="preserve">Poti +</t>
  </si>
  <si>
    <t xml:space="preserve">Motor +</t>
  </si>
  <si>
    <t xml:space="preserve">Poti 2</t>
  </si>
  <si>
    <t xml:space="preserve">Poti 1</t>
  </si>
  <si>
    <t xml:space="preserve">50 x 50</t>
  </si>
  <si>
    <t xml:space="preserve">antihoraire (vue A)</t>
  </si>
  <si>
    <t xml:space="preserve">p = 1000 mbar ; Δp = 600 ±25 mbar ; HR = 40 % ; T = 24 °C</t>
  </si>
  <si>
    <t xml:space="preserve">R1 p.2/p.3 - variante 32 mm - diamètre nominal</t>
  </si>
  <si>
    <t xml:space="preserve">R1 p.2 - Ordering Information - variante 32 mm</t>
  </si>
  <si>
    <t xml:space="preserve">R1 p.3 - Variations - colonne 32 mm - Connector</t>
  </si>
  <si>
    <t xml:space="preserve">R1 p.3 - Variations - colonne 32 mm - Pin 1/A</t>
  </si>
  <si>
    <t xml:space="preserve">R1 p.3 - Variations - colonne 32 mm - Pin 2/B</t>
  </si>
  <si>
    <t xml:space="preserve">R1 p.3 - Variations - colonne 32 mm - Pin 3/C</t>
  </si>
  <si>
    <t xml:space="preserve">R1 p.3 - Variations - colonne 32 mm - Pin 4/D</t>
  </si>
  <si>
    <t xml:space="preserve">R1 p.3 - Variations - colonne 32 mm - Pin 5/E</t>
  </si>
  <si>
    <t xml:space="preserve">R1 p.3 - Variations - colonne 32 mm - Pin 6/F</t>
  </si>
  <si>
    <t xml:space="preserve">R1 p.3 - Variations - colonne 32 mm - Flange diameter</t>
  </si>
  <si>
    <t xml:space="preserve">R1 p.3 - Variations - colonne 32 mm - Hole circle diameter</t>
  </si>
  <si>
    <t xml:space="preserve">R1 p.3 - Variations - colonne 32 mm - Weight</t>
  </si>
  <si>
    <t xml:space="preserve">R1 p.3 - Variations - colonne 32 mm - Maximum mass flow</t>
  </si>
  <si>
    <t xml:space="preserve">R1 p.3 - Opening direction + vue A p.2</t>
  </si>
  <si>
    <t xml:space="preserve">R1 p.3 - note * - angle du point de débit</t>
  </si>
  <si>
    <t xml:space="preserve">R1 p.3 - note * - conditions d'essai du débit</t>
  </si>
  <si>
    <t xml:space="preserve">RENSEIGNE</t>
  </si>
  <si>
    <t xml:space="preserve">0280.750.149</t>
  </si>
  <si>
    <t xml:space="preserve">R1 p.2/p.3 - variante 40 mm - diamètre nominal</t>
  </si>
  <si>
    <t xml:space="preserve">R1 p.2 - Ordering Information - variante 40 mm</t>
  </si>
  <si>
    <t xml:space="preserve">R1 p.3 - Variations - colonne 40 mm - Connector</t>
  </si>
  <si>
    <t xml:space="preserve">R1 p.3 - Variations - colonne 40 mm - Pin 1/A</t>
  </si>
  <si>
    <t xml:space="preserve">R1 p.3 - Variations - colonne 40 mm - Pin 2/B</t>
  </si>
  <si>
    <t xml:space="preserve">R1 p.3 - Variations - colonne 40 mm - Pin 3/C</t>
  </si>
  <si>
    <t xml:space="preserve">R1 p.3 - Variations - colonne 40 mm - Pin 4/D</t>
  </si>
  <si>
    <t xml:space="preserve">R1 p.3 - Variations - colonne 40 mm - Pin 5/E</t>
  </si>
  <si>
    <t xml:space="preserve">R1 p.3 - Variations - colonne 40 mm - Pin 6/F</t>
  </si>
  <si>
    <t xml:space="preserve">R1 p.3 - Variations - colonne 40 mm - Flange diameter</t>
  </si>
  <si>
    <t xml:space="preserve">R1 p.3 - Variations - colonne 40 mm - Hole circle diameter</t>
  </si>
  <si>
    <t xml:space="preserve">R1 p.3 - Variations - colonne 40 mm - Weight</t>
  </si>
  <si>
    <t xml:space="preserve">R1 p.3 - Variations - colonne 40 mm - Maximum mass flow</t>
  </si>
  <si>
    <t xml:space="preserve">0280.750.137</t>
  </si>
  <si>
    <t xml:space="preserve">R1 p.2/p.3 - variante 44 mm - diamètre nominal</t>
  </si>
  <si>
    <t xml:space="preserve">R1 p.2 - Ordering Information - variante 44 mm</t>
  </si>
  <si>
    <t xml:space="preserve">R1 p.3 - Variations - colonne 44 mm - Connector</t>
  </si>
  <si>
    <t xml:space="preserve">R1 p.3 - Variations - colonne 44 mm - Pin 1/A</t>
  </si>
  <si>
    <t xml:space="preserve">R1 p.3 - Variations - colonne 44 mm - Pin 2/B</t>
  </si>
  <si>
    <t xml:space="preserve">R1 p.3 - Variations - colonne 44 mm - Pin 3/C</t>
  </si>
  <si>
    <t xml:space="preserve">R1 p.3 - Variations - colonne 44 mm - Pin 4/D</t>
  </si>
  <si>
    <t xml:space="preserve">R1 p.3 - Variations - colonne 44 mm - Pin 5/E</t>
  </si>
  <si>
    <t xml:space="preserve">R1 p.3 - Variations - colonne 44 mm - Pin 6/F</t>
  </si>
  <si>
    <t xml:space="preserve">R1 p.3 - Variations - colonne 44 mm - Flange diameter</t>
  </si>
  <si>
    <t xml:space="preserve">R1 p.3 - Variations - colonne 44 mm - Hole circle diameter</t>
  </si>
  <si>
    <t xml:space="preserve">R1 p.3 - Variations - colonne 44 mm - Weight</t>
  </si>
  <si>
    <t xml:space="preserve">R1 p.3 - Variations - colonne 44 mm - débit non spécifié</t>
  </si>
  <si>
    <t xml:space="preserve">R1 p.3 - colonne 44 mm - point de débit non spécifié</t>
  </si>
  <si>
    <t xml:space="preserve">NS</t>
  </si>
  <si>
    <t xml:space="preserve">F02U.V01.171-01</t>
  </si>
  <si>
    <t xml:space="preserve">D261.205.356-01</t>
  </si>
  <si>
    <t xml:space="preserve">53 x 53</t>
  </si>
  <si>
    <t xml:space="preserve">R1 p.2/p.3 - variante 46 mm - diamètre nominal</t>
  </si>
  <si>
    <t xml:space="preserve">R1 p.2 - Ordering Information - variante 46 mm</t>
  </si>
  <si>
    <t xml:space="preserve">R1 p.3 - Variations - colonne 46 mm - Connector</t>
  </si>
  <si>
    <t xml:space="preserve">R1 p.3 - Variations - colonne 46 mm - Pin 1/A</t>
  </si>
  <si>
    <t xml:space="preserve">R1 p.3 - Variations - colonne 46 mm - Pin 2/B</t>
  </si>
  <si>
    <t xml:space="preserve">R1 p.3 - Variations - colonne 46 mm - Pin 3/C</t>
  </si>
  <si>
    <t xml:space="preserve">R1 p.3 - Variations - colonne 46 mm - Pin 4/D</t>
  </si>
  <si>
    <t xml:space="preserve">R1 p.3 - Variations - colonne 46 mm - Pin 5/E</t>
  </si>
  <si>
    <t xml:space="preserve">R1 p.3 - Variations - colonne 46 mm - Pin 6/F</t>
  </si>
  <si>
    <t xml:space="preserve">R1 p.3 - Variations - colonne 46 mm - Flange diameter</t>
  </si>
  <si>
    <t xml:space="preserve">R1 p.3 - Variations - colonne 46 mm - Hole circle diameter</t>
  </si>
  <si>
    <t xml:space="preserve">R1 p.3 - Variations - colonne 46 mm - Weight</t>
  </si>
  <si>
    <t xml:space="preserve">R1 p.3 - Variations - colonne 46 mm - Maximum mass flow</t>
  </si>
  <si>
    <t xml:space="preserve">F02U.V01.184-02</t>
  </si>
  <si>
    <t xml:space="preserve">R1 p.2/p.3 - variante 52 mm - diamètre nominal</t>
  </si>
  <si>
    <t xml:space="preserve">R1 p.2 - Ordering Information - variante 52 mm</t>
  </si>
  <si>
    <t xml:space="preserve">R1 p.3 - Variations - colonne 52 mm - Connector</t>
  </si>
  <si>
    <t xml:space="preserve">R1 p.3 - Variations - colonne 52 mm - Pin 1/A</t>
  </si>
  <si>
    <t xml:space="preserve">R1 p.3 - Variations - colonne 52 mm - Pin 2/B</t>
  </si>
  <si>
    <t xml:space="preserve">R1 p.3 - Variations - colonne 52 mm - Pin 3/C</t>
  </si>
  <si>
    <t xml:space="preserve">R1 p.3 - Variations - colonne 52 mm - Pin 4/D</t>
  </si>
  <si>
    <t xml:space="preserve">R1 p.3 - Variations - colonne 52 mm - Pin 5/E</t>
  </si>
  <si>
    <t xml:space="preserve">R1 p.3 - Variations - colonne 52 mm - Pin 6/F</t>
  </si>
  <si>
    <t xml:space="preserve">R1 p.3 - Variations - colonne 52 mm - Flange diameter</t>
  </si>
  <si>
    <t xml:space="preserve">R1 p.3 - Variations - colonne 52 mm - Hole circle diameter</t>
  </si>
  <si>
    <t xml:space="preserve">R1 p.3 - Variations - colonne 52 mm - Weight</t>
  </si>
  <si>
    <t xml:space="preserve">R1 p.3 - Variations - colonne 52 mm - débit non spécifié</t>
  </si>
  <si>
    <t xml:space="preserve">R1 p.3 - colonne 52 mm - point de débit non spécifié</t>
  </si>
  <si>
    <t xml:space="preserve">0280.750.150</t>
  </si>
  <si>
    <t xml:space="preserve">60 x 60</t>
  </si>
  <si>
    <t xml:space="preserve">R1 p.2/p.3 - variante 54 mm - diamètre nominal</t>
  </si>
  <si>
    <t xml:space="preserve">R1 p.2 - Ordering Information - variante 54 mm</t>
  </si>
  <si>
    <t xml:space="preserve">R1 p.3 - Variations - colonne 54 mm - Connector</t>
  </si>
  <si>
    <t xml:space="preserve">R1 p.3 - Variations - colonne 54 mm - Pin 1/A</t>
  </si>
  <si>
    <t xml:space="preserve">R1 p.3 - Variations - colonne 54 mm - Pin 2/B</t>
  </si>
  <si>
    <t xml:space="preserve">R1 p.3 - Variations - colonne 54 mm - Pin 3/C</t>
  </si>
  <si>
    <t xml:space="preserve">R1 p.3 - Variations - colonne 54 mm - Pin 4/D</t>
  </si>
  <si>
    <t xml:space="preserve">R1 p.3 - Variations - colonne 54 mm - Pin 5/E</t>
  </si>
  <si>
    <t xml:space="preserve">R1 p.3 - Variations - colonne 54 mm - Pin 6/F</t>
  </si>
  <si>
    <t xml:space="preserve">R1 p.3 - Variations - colonne 54 mm - Flange diameter</t>
  </si>
  <si>
    <t xml:space="preserve">R1 p.3 - Variations - colonne 54 mm - Hole circle diameter</t>
  </si>
  <si>
    <t xml:space="preserve">R1 p.3 - Variations - colonne 54 mm - Weight</t>
  </si>
  <si>
    <t xml:space="preserve">R1 p.3 - Variations - colonne 54 mm - débit non spécifié</t>
  </si>
  <si>
    <t xml:space="preserve">R1 p.3 - colonne 54 mm - point de débit non spécifié</t>
  </si>
  <si>
    <t xml:space="preserve">0280.750.151</t>
  </si>
  <si>
    <t xml:space="preserve">R1 p.2/p.3 - variante 60 mm - diamètre nominal</t>
  </si>
  <si>
    <t xml:space="preserve">R1 p.2 - Ordering Information - variante 60 mm</t>
  </si>
  <si>
    <t xml:space="preserve">R1 p.3 - Variations - colonne 60 mm - Connector</t>
  </si>
  <si>
    <t xml:space="preserve">R1 p.3 - Variations - colonne 60 mm - Pin 1/A</t>
  </si>
  <si>
    <t xml:space="preserve">R1 p.3 - Variations - colonne 60 mm - Pin 2/B</t>
  </si>
  <si>
    <t xml:space="preserve">R1 p.3 - Variations - colonne 60 mm - Pin 3/C</t>
  </si>
  <si>
    <t xml:space="preserve">R1 p.3 - Variations - colonne 60 mm - Pin 4/D</t>
  </si>
  <si>
    <t xml:space="preserve">R1 p.3 - Variations - colonne 60 mm - Pin 5/E</t>
  </si>
  <si>
    <t xml:space="preserve">R1 p.3 - Variations - colonne 60 mm - Pin 6/F</t>
  </si>
  <si>
    <t xml:space="preserve">R1 p.3 - Variations - colonne 60 mm - Flange diameter</t>
  </si>
  <si>
    <t xml:space="preserve">R1 p.3 - Variations - colonne 60 mm - Hole circle diameter</t>
  </si>
  <si>
    <t xml:space="preserve">R1 p.3 - Variations - colonne 60 mm - Weight</t>
  </si>
  <si>
    <t xml:space="preserve">R1 p.3 - Variations - colonne 60 mm - débit non spécifié</t>
  </si>
  <si>
    <t xml:space="preserve">R1 p.3 - colonne 60 mm - point de débit non spécifié</t>
  </si>
  <si>
    <t xml:space="preserve">0280.750.101</t>
  </si>
  <si>
    <t xml:space="preserve">75 x 75</t>
  </si>
  <si>
    <t xml:space="preserve">R1 p.2/p.3 - variante 82 mm - diamètre nominal</t>
  </si>
  <si>
    <t xml:space="preserve">R1 p.2 - Ordering Information - variante 82 mm</t>
  </si>
  <si>
    <t xml:space="preserve">R1 p.3 - Variations - colonne 82 mm - Connector</t>
  </si>
  <si>
    <t xml:space="preserve">R1 p.3 - Variations - colonne 82 mm - Pin 1/A</t>
  </si>
  <si>
    <t xml:space="preserve">R1 p.3 - Variations - colonne 82 mm - Pin 2/B</t>
  </si>
  <si>
    <t xml:space="preserve">R1 p.3 - Variations - colonne 82 mm - Pin 3/C</t>
  </si>
  <si>
    <t xml:space="preserve">R1 p.3 - Variations - colonne 82 mm - Pin 4/D</t>
  </si>
  <si>
    <t xml:space="preserve">R1 p.3 - Variations - colonne 82 mm - Pin 5/E</t>
  </si>
  <si>
    <t xml:space="preserve">R1 p.3 - Variations - colonne 82 mm - Pin 6/F</t>
  </si>
  <si>
    <t xml:space="preserve">R1 p.3 - Variations - colonne 82 mm - Flange diameter</t>
  </si>
  <si>
    <t xml:space="preserve">R1 p.3 - Variations - colonne 82 mm - Hole circle diameter</t>
  </si>
  <si>
    <t xml:space="preserve">R1 p.3 - Variations - colonne 82 mm - Weight</t>
  </si>
  <si>
    <t xml:space="preserve">R1 p.3 - Variations - colonne 82 mm - débit non spécifié</t>
  </si>
  <si>
    <t xml:space="preserve">R1 p.3 - colonne 82 mm - point de débit non spécifié</t>
  </si>
  <si>
    <t xml:space="preserve">Caracteristique</t>
  </si>
  <si>
    <t xml:space="preserve">Valeur</t>
  </si>
  <si>
    <t xml:space="preserve">Effectif</t>
  </si>
  <si>
    <t xml:space="preserve">Conclusion</t>
  </si>
  <si>
    <t xml:space="preserve">Synthèse gamme</t>
  </si>
  <si>
    <t xml:space="preserve">Résultat</t>
  </si>
  <si>
    <t xml:space="preserve">Interprétation</t>
  </si>
  <si>
    <t xml:space="preserve">Référence</t>
  </si>
  <si>
    <t xml:space="preserve">Connecteur</t>
  </si>
  <si>
    <t xml:space="preserve">358 : 6/8 ; 356 : 2/8</t>
  </si>
  <si>
    <t xml:space="preserve">Majorité stricte du connecteur 358</t>
  </si>
  <si>
    <t xml:space="preserve">R1 p.3</t>
  </si>
  <si>
    <t xml:space="preserve">Brochage complet</t>
  </si>
  <si>
    <t xml:space="preserve">7/8 identiques</t>
  </si>
  <si>
    <t xml:space="preserve">Exception : ETB 52 mm</t>
  </si>
  <si>
    <t xml:space="preserve">Fixation</t>
  </si>
  <si>
    <t xml:space="preserve">50 x 50 : 3/8</t>
  </si>
  <si>
    <t xml:space="preserve">Valeur la plus fréquente, sans majorité stricte</t>
  </si>
  <si>
    <t xml:space="preserve">Bride</t>
  </si>
  <si>
    <t xml:space="preserve">50 et 58 : 2/8 chacune</t>
  </si>
  <si>
    <t xml:space="preserve"> deux valeurs les plus fréquentes à égalité  ; aucune majorité</t>
  </si>
  <si>
    <t xml:space="preserve">Alésage</t>
  </si>
  <si>
    <t xml:space="preserve">8 valeurs différentes</t>
  </si>
  <si>
    <t xml:space="preserve">Aucune majorité</t>
  </si>
  <si>
    <t xml:space="preserve">Sens d'ouverture</t>
  </si>
  <si>
    <t xml:space="preserve">Antihoraire : 8/8</t>
  </si>
  <si>
    <t xml:space="preserve">Référence commune : vue A</t>
  </si>
  <si>
    <t xml:space="preserve">R1 p.2/p.3</t>
  </si>
  <si>
    <t xml:space="preserve">Débit</t>
  </si>
  <si>
    <t xml:space="preserve">3 valeurs publiées / 5 NS</t>
  </si>
  <si>
    <t xml:space="preserve">NS n'est pas un débit</t>
  </si>
  <si>
    <t xml:space="preserve"> </t>
  </si>
  <si>
    <t xml:space="preserve">Variante</t>
  </si>
  <si>
    <t xml:space="preserve">Reference_comparaison</t>
  </si>
  <si>
    <t xml:space="preserve">Constat</t>
  </si>
  <si>
    <t xml:space="preserve">Verification</t>
  </si>
  <si>
    <t xml:space="preserve">Source</t>
  </si>
  <si>
    <t xml:space="preserve">D261.205.358-01 = majorité stricte 6/8</t>
  </si>
  <si>
    <t xml:space="preserve">Même connecteur que la majorité de la gamme.</t>
  </si>
  <si>
    <t xml:space="preserve">Référence connecteur + plan de connectique + faisceau véhicule.</t>
  </si>
  <si>
    <t xml:space="preserve">Brochage</t>
  </si>
  <si>
    <t xml:space="preserve">Brochage majoritaire : 7/8 identiques</t>
  </si>
  <si>
    <t xml:space="preserve">Brochage identique au brochage majoritaire de la gamme.</t>
  </si>
  <si>
    <t xml:space="preserve">Comparer les 6 fonctions de broches et le plan de connectique.</t>
  </si>
  <si>
    <t xml:space="preserve">R1 p.3 - Variations - colonne 54 mm - Pin 1/A à 6/F</t>
  </si>
  <si>
    <t xml:space="preserve">Aucune majorité ; 50 et 58 mm = 2/8 chacune</t>
  </si>
  <si>
    <t xml:space="preserve">Bride 70 mm ; aucune référence de gamme unique ne permet de déclarer un écart absolu.</t>
  </si>
  <si>
    <t xml:space="preserve">Plan coté / modèle CAO / interface collecteur.</t>
  </si>
  <si>
    <t xml:space="preserve">50 x 50 = valeur la plus fréquente (3/8), sans majorité stricte</t>
  </si>
  <si>
    <t xml:space="preserve">Fixation 60 x 60 différente de la valeur la plus fréquente.</t>
  </si>
  <si>
    <t xml:space="preserve">Plan du support / collecteur + modèle CAO.</t>
  </si>
  <si>
    <t xml:space="preserve">Pas de majorité : 8 alésages différents</t>
  </si>
  <si>
    <t xml:space="preserve">L'alésage 54 mm est une variante fonctionnelle, pas un défaut.</t>
  </si>
  <si>
    <t xml:space="preserve">Spécification moteur + courbe débit-angle.</t>
  </si>
  <si>
    <t xml:space="preserve">R1 p.3 - Variations - colonne 54 mm</t>
  </si>
  <si>
    <t xml:space="preserve">3 valeurs publiées / 5 NS ; aucun débit majoritaire</t>
  </si>
  <si>
    <t xml:space="preserve">Débit maximal non spécifié pour la 54 mm.</t>
  </si>
  <si>
    <t xml:space="preserve">Demander courbe débit-angle / point de débit fournisseur ou réaliser un essai.</t>
  </si>
  <si>
    <t xml:space="preserve">Sens</t>
  </si>
  <si>
    <t xml:space="preserve">Antihoraire = 8/8 (vue A)</t>
  </si>
  <si>
    <t xml:space="preserve">Même sens d'ouverture publié que toute la gamme.</t>
  </si>
  <si>
    <t xml:space="preserve">Vérifier la même référence d'observation : vue A.</t>
  </si>
  <si>
    <t xml:space="preserve">R1 p.2 vue A + p.3 Opening direction</t>
  </si>
  <si>
    <t xml:space="preserve">Masse</t>
  </si>
  <si>
    <t xml:space="preserve">0,95 kg = valeur la plus fréquente (4/8), sans majorité stricte</t>
  </si>
  <si>
    <t xml:space="preserve">La 54 mm est à 0,95 kg, valeur la plus fréquente.</t>
  </si>
  <si>
    <t xml:space="preserve">Exigences support / vibration / tenue mécanique.</t>
  </si>
  <si>
    <t xml:space="preserve">R1 p.3 - Variations - colonne 82 mm - Pin 1/A à 6/F</t>
  </si>
  <si>
    <t xml:space="preserve">Bride 90 mm ; aucune référence de gamme unique ne permet de déclarer un écart absolu.</t>
  </si>
  <si>
    <t xml:space="preserve">Fixation 75 x 75 différente de la valeur la plus fréquente.</t>
  </si>
  <si>
    <t xml:space="preserve">L'alésage 82 mm est une variante fonctionnelle, pas un défaut.</t>
  </si>
  <si>
    <t xml:space="preserve">R1 p.3 - Variations - colonne 82 mm</t>
  </si>
  <si>
    <t xml:space="preserve">Débit maximal non spécifié pour la 82 mm.</t>
  </si>
  <si>
    <t xml:space="preserve">La 82 mm est à 1,1 kg, au-dessus de la valeur la plus fréquente.</t>
  </si>
  <si>
    <t xml:space="preserve">Cas</t>
  </si>
  <si>
    <t xml:space="preserve">Confusion</t>
  </si>
  <si>
    <t xml:space="preserve">Cause</t>
  </si>
  <si>
    <t xml:space="preserve">Effet_systeme</t>
  </si>
  <si>
    <t xml:space="preserve">Barriere</t>
  </si>
  <si>
    <t xml:space="preserve">Classement</t>
  </si>
  <si>
    <t xml:space="preserve">54 ↔ 60</t>
  </si>
  <si>
    <t xml:space="preserve">Références proches 0280.750.150 / 0280.750.151 ; même connecteur et même brochage ; dimensions différentes.</t>
  </si>
  <si>
    <t xml:space="preserve">Erreur de référence, erreur logistique ou sélection de la mauvaise variante.</t>
  </si>
  <si>
    <t xml:space="preserve">Montage, adéquation moteur et calibration peuvent être incorrects ; compatibilité à vérifier.</t>
  </si>
  <si>
    <t xml:space="preserve">Conception : détrompage physique ou interface empêchant l'interversion des variantes à risque.</t>
  </si>
  <si>
    <t xml:space="preserve">Essai de non-accouplement, analyse des contournements possibles et dessin d'interface approuvé.</t>
  </si>
  <si>
    <t xml:space="preserve">R1 p.2 et p.3 ; guide Ex.1 §1.3</t>
  </si>
  <si>
    <t xml:space="preserve">Ligne : lecture/scanner du code article et comparaison avec la configuration attendue ; blocage si désaccord.</t>
  </si>
  <si>
    <t xml:space="preserve">Tester volontairement une mauvaise référence et vérifier le blocage ainsi que sa traçabilité.</t>
  </si>
  <si>
    <t xml:space="preserve">Logiciel : contrôle de plausibilité des deux voies de position et de la réponse à la commande ; mise en sécurité définie.</t>
  </si>
  <si>
    <t xml:space="preserve">Injection de défauts ; valider seuils, temps de réaction et comportement de repli.</t>
  </si>
  <si>
    <t xml:space="preserve">54 ↔ 82</t>
  </si>
  <si>
    <t xml:space="preserve">Même connecteur et même brochage, mais alésage, bride, fixation et masse différents.</t>
  </si>
  <si>
    <t xml:space="preserve">Mauvaise variante montée parce que le raccordement électrique ne révèle pas nécessairement l'erreur.</t>
  </si>
  <si>
    <t xml:space="preserve">Risque d'intégration mécanique ou fonctionnelle : raccordement d'air, fixation, encombrement et calibration à vérifier.</t>
  </si>
  <si>
    <t xml:space="preserve">Conception : détrompage physique ou interface rendant impossible l'assemblage de la mauvaise variante.</t>
  </si>
  <si>
    <t xml:space="preserve">Essai de non-accouplement + contrôle du plan d'interface / CAO des variantes 54 et 82 mm.</t>
  </si>
  <si>
    <t xml:space="preserve">Ligne : scanner la référence ETB et la comparer à la configuration véhicule ; bloquer l'opération en cas d'écart.</t>
  </si>
  <si>
    <t xml:space="preserve">Introduire volontairement la mauvaise référence et vérifier le blocage + enregistrement de l'anomalie.</t>
  </si>
  <si>
    <t xml:space="preserve">Logiciel : surveiller la cohérence des deux voies de position et la réponse réelle à la commande.</t>
  </si>
  <si>
    <t xml:space="preserve">Injection de défauts ; vérifier détection, seuils, temps de réaction et état de sécurité.</t>
  </si>
  <si>
    <t xml:space="preserve">Faisceau 46 → ETB 52</t>
  </si>
  <si>
    <t xml:space="preserve">Connecteur de même famille 356, mais brochage différent : broche 4 = Motor + sur 46 mm et Poti 2 sur 52 mm.</t>
  </si>
  <si>
    <t xml:space="preserve">Interversion de composant/faisceau malgré une connectique compatible en apparence.</t>
  </si>
  <si>
    <t xml:space="preserve">Comportement ETB incohérent et fonction de commande dégradée ; réaction de sécurité à définir.</t>
  </si>
  <si>
    <t xml:space="preserve">Conception : détrompage physique ou interface empêchant de raccorder ce faisceau à la mauvaise variante.</t>
  </si>
  <si>
    <t xml:space="preserve">Essai de non-accouplement et vérification détaillée de la vue d'accouplement / détrompage.</t>
  </si>
  <si>
    <t xml:space="preserve">R1 p.3 - Pin 46/52 ; guide Ex.1 §1.3</t>
  </si>
  <si>
    <t xml:space="preserve">Ligne : contrôle du code article et de la référence faisceau/ETB avant raccordement ; blocage si non-conformité.</t>
  </si>
  <si>
    <t xml:space="preserve">Essai avec mauvaise référence ; vérifier blocage, traçabilité et impossibilité de poursuivre l'opération.</t>
  </si>
  <si>
    <t xml:space="preserve">Logiciel : plausibilité Poti 1/Poti 2 + surveillance commande/position ; désactivation contrôlée du driver en défaut.</t>
  </si>
  <si>
    <t xml:space="preserve">Injection de défauts électriques ; mesurer temps de détection et vérifier l'état de repli. Attention : la détection peut être trop tardive pour éviter un dommage initial.</t>
  </si>
  <si>
    <t xml:space="preserve">Rang</t>
  </si>
  <si>
    <t xml:space="preserve">Type de barrière</t>
  </si>
  <si>
    <t xml:space="preserve">Objectif</t>
  </si>
  <si>
    <t xml:space="preserve">Conception</t>
  </si>
  <si>
    <t xml:space="preserve">Empêcher physiquement l'erreur</t>
  </si>
  <si>
    <t xml:space="preserve">Ligne</t>
  </si>
  <si>
    <t xml:space="preserve">Détecter la mauvaise référence avant montage</t>
  </si>
  <si>
    <t xml:space="preserve">Logiciel</t>
  </si>
  <si>
    <t xml:space="preserve">Détecter une incohérence et mettre en sécurité</t>
  </si>
  <si>
    <t xml:space="preserve">ID</t>
  </si>
  <si>
    <t xml:space="preserve">Information_manquante</t>
  </si>
  <si>
    <t xml:space="preserve">Impact</t>
  </si>
  <si>
    <t xml:space="preserve">Question_fournisseur</t>
  </si>
  <si>
    <t xml:space="preserve">Priorite</t>
  </si>
  <si>
    <t xml:space="preserve">Statut</t>
  </si>
  <si>
    <t xml:space="preserve">L01 - Débit</t>
  </si>
  <si>
    <t xml:space="preserve">54 / 82</t>
  </si>
  <si>
    <t xml:space="preserve">Courbes débit-angle et tolérances</t>
  </si>
  <si>
    <t xml:space="preserve">Dimensionnement air</t>
  </si>
  <si>
    <t xml:space="preserve">Pour les 54 et 82 mm, fournissez les courbes débit-angle sous les conditions de la note * et leurs tolérances.</t>
  </si>
  <si>
    <t xml:space="preserve">Haute</t>
  </si>
  <si>
    <t xml:space="preserve">À demander</t>
  </si>
  <si>
    <t xml:space="preserve">L02 - Courants</t>
  </si>
  <si>
    <t xml:space="preserve">Signification de « generator current » et profils de courant moteur</t>
  </si>
  <si>
    <t xml:space="preserve">Fils, fusible, driver</t>
  </si>
  <si>
    <t xml:space="preserve">Que désigne « generator current » ? Quels sont les courants nominal, de démarrage et de blocage, avec leurs durées ?</t>
  </si>
  <si>
    <t xml:space="preserve">L03 - Moteur</t>
  </si>
  <si>
    <t xml:space="preserve">Paramètres électriques du moteur</t>
  </si>
  <si>
    <t xml:space="preserve">Commande, modèle</t>
  </si>
  <si>
    <t xml:space="preserve">Quelles sont les résistances/inductances et constantes électriques du moteur, avec dispersion et température ?</t>
  </si>
  <si>
    <t xml:space="preserve">L04 - Dynamique</t>
  </si>
  <si>
    <t xml:space="preserve">Temps d'ouverture/fermeture et précision</t>
  </si>
  <si>
    <t xml:space="preserve">Exigences de boucle</t>
  </si>
  <si>
    <t xml:space="preserve">Quels temps d’ouverture/fermeture et quelle précision de position sont garantis sur la plage thermique ?</t>
  </si>
  <si>
    <t xml:space="preserve">L05 - Ressort</t>
  </si>
  <si>
    <t xml:space="preserve">Position de repos et couple de rappel</t>
  </si>
  <si>
    <t xml:space="preserve">Repli mécanique</t>
  </si>
  <si>
    <t xml:space="preserve">Quel angle de repos, quelle tolérance et quel couple de rappel sont garantis en perte d’alimentation ?</t>
  </si>
  <si>
    <t xml:space="preserve">L06 - Capteurs</t>
  </si>
  <si>
    <t xml:space="preserve">Caractéristiques détaillées POTI1/POTI2</t>
  </si>
  <si>
    <t xml:space="preserve">ADC, RC, diagnostic</t>
  </si>
  <si>
    <t xml:space="preserve">Fournissez les lois exactes POTI1/POTI2, tolérances, impédances, charges admises et comportements en défaut.</t>
  </si>
  <si>
    <t xml:space="preserve">L07 - Connectique</t>
  </si>
  <si>
    <t xml:space="preserve">Vue d'accouplement, contacts et détrompage</t>
  </si>
  <si>
    <t xml:space="preserve">Faisceau, erreur de pin</t>
  </si>
  <si>
    <t xml:space="preserve">Fournissez le plan avec vue d’accouplement, repérage 1A à 6F, contacts, détrompage, étanchéité et contrepartie.</t>
  </si>
  <si>
    <t xml:space="preserve">L08 - Plan coté</t>
  </si>
  <si>
    <t xml:space="preserve">Tolérances mécaniques et modèle 3D</t>
  </si>
  <si>
    <t xml:space="preserve">Montage, implantation</t>
  </si>
  <si>
    <t xml:space="preserve">Fournissez le plan 54/82 mm, les tolérances, les références géométriques et le modèle 3D.</t>
  </si>
  <si>
    <t xml:space="preserve">L09 - Assemblage</t>
  </si>
  <si>
    <t xml:space="preserve">Joints, vis, serrage, états de surface</t>
  </si>
  <si>
    <t xml:space="preserve">Étanchéité, tenue</t>
  </si>
  <si>
    <t xml:space="preserve">Quels joints, vis, couples de serrage, états de surface et limites de déformation sont requis ?</t>
  </si>
  <si>
    <t xml:space="preserve">Moyenne</t>
  </si>
  <si>
    <t xml:space="preserve">L10 - Environnement</t>
  </si>
  <si>
    <t xml:space="preserve">Étanchéité, fluides, corrosion</t>
  </si>
  <si>
    <t xml:space="preserve">Usage véhicule</t>
  </si>
  <si>
    <t xml:space="preserve">Quels niveaux d’étanchéité et quelles résistances aux fluides et à la corrosion sont validés ?</t>
  </si>
  <si>
    <t xml:space="preserve">L11 - CEM / électrique</t>
  </si>
  <si>
    <t xml:space="preserve">Validation CEM et protections électriques</t>
  </si>
  <si>
    <t xml:space="preserve">Robustesse électrique</t>
  </si>
  <si>
    <t xml:space="preserve">Quels essais d’émission, immunité, ESD, transitoires et inversions de polarité sont réalisés, avec résultats ?</t>
  </si>
  <si>
    <t xml:space="preserve">L12 - Durée de vie</t>
  </si>
  <si>
    <t xml:space="preserve">Cycles et durée de vie garantie</t>
  </si>
  <si>
    <t xml:space="preserve">Durabilité</t>
  </si>
  <si>
    <t xml:space="preserve">Quels cycles et quelle durée sont garantis, pour quels profils de charge, température et vibration ?</t>
  </si>
  <si>
    <t xml:space="preserve">L13 - Thermique</t>
  </si>
  <si>
    <t xml:space="preserve">Limites courant/couple selon température et durée</t>
  </si>
  <si>
    <t xml:space="preserve">Dérating, blocage</t>
  </si>
  <si>
    <t xml:space="preserve">Quelles limites de courant/couple s’appliquent selon température et durée d’actionnement ?</t>
  </si>
  <si>
    <t xml:space="preserve">L14 - Modification série</t>
  </si>
  <si>
    <t xml:space="preserve">Toutes variantes</t>
  </si>
  <si>
    <t xml:space="preserve">Gestion des indices, changements et fin de vie</t>
  </si>
  <si>
    <t xml:space="preserve">Responsabilité DRE</t>
  </si>
  <si>
    <t xml:space="preserve">Comment sont gérés les indices, changements, notifications, traçabilité et fin de vie des références ?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</si>
</sst>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-* #,##0.00\ _€_-;\-* #,##0.00\ _€_-;_-* \-??\ _€_-;_-@_-"/>
    <numFmt numFmtId="166" formatCode="_-* #,##0.00\ _€_-;\-* #,##0.00\ _€_-;_-* \-??\ _€_-;_-@_-"/>
    <numFmt numFmtId="167" formatCode="_-* #,##0\ _€_-;\-* #,##0\ _€_-;_-* &quot;- &quot;_€_-;_-@_-"/>
    <numFmt numFmtId="168" formatCode="_-* #,##0\ _€_-;\-* #,##0\ _€_-;_-* &quot;- &quot;_€_-;_-@_-"/>
    <numFmt numFmtId="169" formatCode="_-* #,##0.00&quot; €&quot;_-;\-* #,##0.00&quot; €&quot;_-;_-* \-??&quot; €&quot;_-;_-@_-"/>
    <numFmt numFmtId="170" formatCode="_-* #,##0.00&quot; €&quot;_-;\-* #,##0.00&quot; €&quot;_-;_-* \-??&quot; €&quot;_-;_-@_-"/>
    <numFmt numFmtId="171" formatCode="_-* #,##0&quot; €&quot;_-;\-* #,##0&quot; €&quot;_-;_-* &quot;- €&quot;_-;_-@_-"/>
    <numFmt numFmtId="172" formatCode="_-* #,##0&quot; €&quot;_-;\-* #,##0&quot; €&quot;_-;_-* &quot;- €&quot;_-;_-@_-"/>
    <numFmt numFmtId="173" formatCode="0\ %"/>
    <numFmt numFmtId="174" formatCode="0\ %"/>
    <numFmt numFmtId="175" formatCode="0"/>
    <numFmt numFmtId="176" formatCode="0.0"/>
    <numFmt numFmtId="177" formatCode="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385D8A"/>
        <bgColor rgb="FF156082"/>
      </patternFill>
    </fill>
    <fill>
      <patternFill patternType="solid">
        <fgColor rgb="FF5B6573"/>
        <bgColor rgb="FF385D8A"/>
      </patternFill>
    </fill>
    <fill>
      <patternFill patternType="solid">
        <fgColor rgb="FFF3F6F9"/>
        <bgColor rgb="FFF2F2F2"/>
      </patternFill>
    </fill>
    <fill>
      <patternFill patternType="solid">
        <fgColor rgb="FFB7DDE8"/>
        <bgColor rgb="FFB6D7A8"/>
      </patternFill>
    </fill>
    <fill>
      <patternFill patternType="solid">
        <fgColor rgb="FFF2F2F2"/>
        <bgColor rgb="FFF3F6F9"/>
      </patternFill>
    </fill>
    <fill>
      <patternFill patternType="solid">
        <fgColor rgb="FFD9EAF7"/>
        <bgColor rgb="FFD9EAD3"/>
      </patternFill>
    </fill>
    <fill>
      <patternFill patternType="solid">
        <fgColor rgb="FFE2F0D9"/>
        <bgColor rgb="FFD9EAD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9" fontId="4" fillId="0" borderId="0" applyFont="true" applyBorder="false" applyAlignment="false" applyProtection="false"/>
    <xf numFmtId="170" fontId="4" fillId="0" borderId="0" applyFont="true" applyBorder="false" applyAlignment="false" applyProtection="false"/>
    <xf numFmtId="171" fontId="4" fillId="0" borderId="0" applyFont="true" applyBorder="false" applyAlignment="false" applyProtection="false"/>
    <xf numFmtId="172" fontId="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applyFont="true" applyBorder="false" applyAlignment="false" applyProtection="false"/>
    <xf numFmtId="174" fontId="4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3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5" fillId="0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5" fillId="0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5" fillId="0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5" fillId="5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5" fillId="5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5" fillId="5" borderId="1" xfId="2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3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3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7" borderId="1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3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9" borderId="1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28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1" xfId="28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9" borderId="1" xfId="28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11" borderId="1" xfId="28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28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0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28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0" xfId="28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1" xfId="28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1" xfId="21"/>
    <cellStyle name="Comma [0]" xfId="22"/>
    <cellStyle name="Comma [0] 2" xfId="23"/>
    <cellStyle name="Currency" xfId="24"/>
    <cellStyle name="Currency 3" xfId="25"/>
    <cellStyle name="Currency [0]" xfId="26"/>
    <cellStyle name="Currency [0] 4" xfId="27"/>
    <cellStyle name="Normal" xfId="28"/>
    <cellStyle name="Normal 2" xfId="29"/>
    <cellStyle name="Normal 5" xfId="30"/>
    <cellStyle name="Percent" xfId="31"/>
    <cellStyle name="Percent 6" xfId="32"/>
  </cellStyles>
  <dxfs count="26">
    <dxf>
      <fill>
        <patternFill patternType="solid">
          <fgColor rgb="FF17365D"/>
          <bgColor rgb="FF000000"/>
        </patternFill>
      </fill>
    </dxf>
    <dxf>
      <fill>
        <patternFill patternType="solid">
          <fgColor rgb="FFF3F6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85D8A"/>
          <bgColor rgb="FF000000"/>
        </patternFill>
      </fill>
    </dxf>
    <dxf>
      <fill>
        <patternFill patternType="solid">
          <fgColor rgb="FF5B6573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b val="1"/>
      </font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ont>
        <b val="1"/>
      </font>
      <fill>
        <patternFill>
          <bgColor rgb="FFE2F0D9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B6D7A8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19" type="wholeTable"/>
      <tableStyleElement dxfId="20" type="firstColumnStripe"/>
      <tableStyleElement dxfId="21" type="firstRowStripe"/>
      <tableStyleElement dxfId="22" type="lastColumn"/>
      <tableStyleElement dxfId="23" type="firstColumn"/>
      <tableStyleElement dxfId="24" type="headerRow"/>
      <tableStyleElement dxfId="25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6D7A8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9"/>
      <rgbColor rgb="FFE2F0D9"/>
      <rgbColor rgb="FFFCE4D6"/>
      <rgbColor rgb="FFD9EAD3"/>
      <rgbColor rgb="FFF2F2F2"/>
      <rgbColor rgb="FFCC99FF"/>
      <rgbColor rgb="FFF4CCCC"/>
      <rgbColor rgb="FF3366FF"/>
      <rgbColor rgb="FF46B1E1"/>
      <rgbColor rgb="FF99CC00"/>
      <rgbColor rgb="FFFFCC00"/>
      <rgbColor rgb="FFFF9900"/>
      <rgbColor rgb="FFFF6600"/>
      <rgbColor rgb="FF5B6573"/>
      <rgbColor rgb="FF969696"/>
      <rgbColor rgb="FF17365D"/>
      <rgbColor rgb="FF339966"/>
      <rgbColor rgb="FF003300"/>
      <rgbColor rgb="FF333300"/>
      <rgbColor rgb="FF993300"/>
      <rgbColor rgb="FF993366"/>
      <rgbColor rgb="FF385D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VariantesETB" displayName="VariantesETB" ref="A1:AV9" headerRowCount="1" totalsRowCount="0" totalsRowShown="0">
  <tableColumns count="48">
    <tableColumn id="1" name="alesage_mm"/>
    <tableColumn id="2" name="reference_commande"/>
    <tableColumn id="3" name="connecteur"/>
    <tableColumn id="4" name="broche_1"/>
    <tableColumn id="5" name="broche_2"/>
    <tableColumn id="6" name="broche_3"/>
    <tableColumn id="7" name="broche_4"/>
    <tableColumn id="8" name="broche_5"/>
    <tableColumn id="9" name="broche_6"/>
    <tableColumn id="10" name="bride_mm"/>
    <tableColumn id="11" name="fixation_mm"/>
    <tableColumn id="12" name="masse_kg"/>
    <tableColumn id="13" name="debit_max_kg_h"/>
    <tableColumn id="14" name="sens_ouverture"/>
    <tableColumn id="15" name="angle_debit_deg"/>
    <tableColumn id="16" name="conditions_debit"/>
    <tableColumn id="17" name="alesage_mm_source"/>
    <tableColumn id="18" name="reference_commande_source"/>
    <tableColumn id="19" name="connecteur_source"/>
    <tableColumn id="20" name="broche_1_source"/>
    <tableColumn id="21" name="broche_2_source"/>
    <tableColumn id="22" name="broche_3_source"/>
    <tableColumn id="23" name="broche_4_source"/>
    <tableColumn id="24" name="broche_5_source"/>
    <tableColumn id="25" name="broche_6_source"/>
    <tableColumn id="26" name="bride_mm_source"/>
    <tableColumn id="27" name="fixation_mm_source"/>
    <tableColumn id="28" name="masse_kg_source"/>
    <tableColumn id="29" name="debit_max_kg_h_source"/>
    <tableColumn id="30" name="sens_ouverture_source"/>
    <tableColumn id="31" name="angle_debit_deg_source"/>
    <tableColumn id="32" name="conditions_debit_source"/>
    <tableColumn id="33" name="alesage_mm_statut"/>
    <tableColumn id="34" name="reference_commande_statut"/>
    <tableColumn id="35" name="connecteur_statut"/>
    <tableColumn id="36" name="broche_1_statut"/>
    <tableColumn id="37" name="broche_2_statut"/>
    <tableColumn id="38" name="broche_3_statut"/>
    <tableColumn id="39" name="broche_4_statut"/>
    <tableColumn id="40" name="broche_5_statut"/>
    <tableColumn id="41" name="broche_6_statut"/>
    <tableColumn id="42" name="bride_mm_statut"/>
    <tableColumn id="43" name="fixation_mm_statut"/>
    <tableColumn id="44" name="masse_kg_statut"/>
    <tableColumn id="45" name="debit_max_kg_h_statut"/>
    <tableColumn id="46" name="sens_ouverture_statut"/>
    <tableColumn id="47" name="angle_debit_deg_statut"/>
    <tableColumn id="48" name="conditions_debit_stat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2" activeCellId="0" sqref="A12"/>
    </sheetView>
  </sheetViews>
  <sheetFormatPr defaultColWidth="23.54296875" defaultRowHeight="12" customHeight="false" zeroHeight="false" outlineLevelRow="0" outlineLevelCol="0"/>
  <cols>
    <col collapsed="false" customWidth="false" hidden="false" outlineLevel="0" max="15" min="1" style="1" width="23.54"/>
    <col collapsed="false" customWidth="true" hidden="false" outlineLevel="0" max="16" min="16" style="1" width="26.73"/>
    <col collapsed="false" customWidth="false" hidden="false" outlineLevel="0" max="26" min="17" style="1" width="23.54"/>
    <col collapsed="false" customWidth="true" hidden="false" outlineLevel="0" max="27" min="27" style="1" width="25.57"/>
    <col collapsed="false" customWidth="false" hidden="false" outlineLevel="0" max="28" min="28" style="1" width="23.54"/>
    <col collapsed="false" customWidth="true" hidden="false" outlineLevel="0" max="29" min="29" style="1" width="24.93"/>
    <col collapsed="false" customWidth="false" hidden="false" outlineLevel="0" max="16384" min="30" style="1" width="23.54"/>
  </cols>
  <sheetData>
    <row r="1" customFormat="false" ht="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tr">
        <f aca="false">A1&amp;"_source"</f>
        <v>alesage_mm_source</v>
      </c>
      <c r="R1" s="3" t="str">
        <f aca="false">B1&amp;"_source"</f>
        <v>reference_commande_source</v>
      </c>
      <c r="S1" s="3" t="str">
        <f aca="false">C1&amp;"_source"</f>
        <v>connecteur_source</v>
      </c>
      <c r="T1" s="3" t="str">
        <f aca="false">D1&amp;"_source"</f>
        <v>broche_1_source</v>
      </c>
      <c r="U1" s="3" t="str">
        <f aca="false">E1&amp;"_source"</f>
        <v>broche_2_source</v>
      </c>
      <c r="V1" s="3" t="str">
        <f aca="false">F1&amp;"_source"</f>
        <v>broche_3_source</v>
      </c>
      <c r="W1" s="3" t="str">
        <f aca="false">G1&amp;"_source"</f>
        <v>broche_4_source</v>
      </c>
      <c r="X1" s="3" t="str">
        <f aca="false">H1&amp;"_source"</f>
        <v>broche_5_source</v>
      </c>
      <c r="Y1" s="3" t="str">
        <f aca="false">I1&amp;"_source"</f>
        <v>broche_6_source</v>
      </c>
      <c r="Z1" s="3" t="str">
        <f aca="false">J1&amp;"_source"</f>
        <v>bride_mm_source</v>
      </c>
      <c r="AA1" s="3" t="str">
        <f aca="false">K1&amp;"_source"</f>
        <v>fixation_mm_source</v>
      </c>
      <c r="AB1" s="3" t="str">
        <f aca="false">L1&amp;"_source"</f>
        <v>masse_kg_source</v>
      </c>
      <c r="AC1" s="3" t="str">
        <f aca="false">M1&amp;"_source"</f>
        <v>debit_max_kg_h_source</v>
      </c>
      <c r="AD1" s="3" t="str">
        <f aca="false">N1&amp;"_source"</f>
        <v>sens_ouverture_source</v>
      </c>
      <c r="AE1" s="3" t="str">
        <f aca="false">O1&amp;"_source"</f>
        <v>angle_debit_deg_source</v>
      </c>
      <c r="AF1" s="3" t="str">
        <f aca="false">P1&amp;"_source"</f>
        <v>conditions_debit_source</v>
      </c>
      <c r="AG1" s="4" t="str">
        <f aca="false">A1&amp;"_statut"</f>
        <v>alesage_mm_statut</v>
      </c>
      <c r="AH1" s="4" t="str">
        <f aca="false">B1&amp;"_statut"</f>
        <v>reference_commande_statut</v>
      </c>
      <c r="AI1" s="4" t="str">
        <f aca="false">C1&amp;"_statut"</f>
        <v>connecteur_statut</v>
      </c>
      <c r="AJ1" s="4" t="str">
        <f aca="false">D1&amp;"_statut"</f>
        <v>broche_1_statut</v>
      </c>
      <c r="AK1" s="4" t="str">
        <f aca="false">E1&amp;"_statut"</f>
        <v>broche_2_statut</v>
      </c>
      <c r="AL1" s="4" t="str">
        <f aca="false">F1&amp;"_statut"</f>
        <v>broche_3_statut</v>
      </c>
      <c r="AM1" s="4" t="str">
        <f aca="false">G1&amp;"_statut"</f>
        <v>broche_4_statut</v>
      </c>
      <c r="AN1" s="4" t="str">
        <f aca="false">H1&amp;"_statut"</f>
        <v>broche_5_statut</v>
      </c>
      <c r="AO1" s="4" t="str">
        <f aca="false">I1&amp;"_statut"</f>
        <v>broche_6_statut</v>
      </c>
      <c r="AP1" s="4" t="str">
        <f aca="false">J1&amp;"_statut"</f>
        <v>bride_mm_statut</v>
      </c>
      <c r="AQ1" s="4" t="str">
        <f aca="false">K1&amp;"_statut"</f>
        <v>fixation_mm_statut</v>
      </c>
      <c r="AR1" s="4" t="str">
        <f aca="false">L1&amp;"_statut"</f>
        <v>masse_kg_statut</v>
      </c>
      <c r="AS1" s="4" t="str">
        <f aca="false">M1&amp;"_statut"</f>
        <v>debit_max_kg_h_statut</v>
      </c>
      <c r="AT1" s="4" t="str">
        <f aca="false">N1&amp;"_statut"</f>
        <v>sens_ouverture_statut</v>
      </c>
      <c r="AU1" s="4" t="str">
        <f aca="false">O1&amp;"_statut"</f>
        <v>angle_debit_deg_statut</v>
      </c>
      <c r="AV1" s="4" t="str">
        <f aca="false">P1&amp;"_statut"</f>
        <v>conditions_debit_statut</v>
      </c>
    </row>
    <row r="2" customFormat="false" ht="36.5" hidden="false" customHeight="false" outlineLevel="0" collapsed="false">
      <c r="A2" s="5" t="n">
        <v>32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7" t="n">
        <v>40</v>
      </c>
      <c r="K2" s="6" t="s">
        <v>24</v>
      </c>
      <c r="L2" s="8" t="n">
        <v>0.9</v>
      </c>
      <c r="M2" s="5" t="n">
        <v>394</v>
      </c>
      <c r="N2" s="6" t="s">
        <v>25</v>
      </c>
      <c r="O2" s="5" t="n">
        <v>85</v>
      </c>
      <c r="P2" s="6" t="s">
        <v>26</v>
      </c>
      <c r="Q2" s="6" t="s">
        <v>27</v>
      </c>
      <c r="R2" s="6" t="s">
        <v>28</v>
      </c>
      <c r="S2" s="6" t="s">
        <v>29</v>
      </c>
      <c r="T2" s="6" t="s">
        <v>30</v>
      </c>
      <c r="U2" s="6" t="s">
        <v>31</v>
      </c>
      <c r="V2" s="6" t="s">
        <v>32</v>
      </c>
      <c r="W2" s="6" t="s">
        <v>33</v>
      </c>
      <c r="X2" s="6" t="s">
        <v>34</v>
      </c>
      <c r="Y2" s="6" t="s">
        <v>35</v>
      </c>
      <c r="Z2" s="6" t="s">
        <v>36</v>
      </c>
      <c r="AA2" s="6" t="s">
        <v>37</v>
      </c>
      <c r="AB2" s="6" t="s">
        <v>38</v>
      </c>
      <c r="AC2" s="6" t="s">
        <v>39</v>
      </c>
      <c r="AD2" s="6" t="s">
        <v>40</v>
      </c>
      <c r="AE2" s="6" t="s">
        <v>41</v>
      </c>
      <c r="AF2" s="6" t="s">
        <v>42</v>
      </c>
      <c r="AG2" s="6" t="s">
        <v>43</v>
      </c>
      <c r="AH2" s="6" t="s">
        <v>43</v>
      </c>
      <c r="AI2" s="6" t="s">
        <v>43</v>
      </c>
      <c r="AJ2" s="6" t="s">
        <v>43</v>
      </c>
      <c r="AK2" s="6" t="s">
        <v>43</v>
      </c>
      <c r="AL2" s="6" t="s">
        <v>43</v>
      </c>
      <c r="AM2" s="6" t="s">
        <v>43</v>
      </c>
      <c r="AN2" s="6" t="s">
        <v>43</v>
      </c>
      <c r="AO2" s="6" t="s">
        <v>43</v>
      </c>
      <c r="AP2" s="6" t="s">
        <v>43</v>
      </c>
      <c r="AQ2" s="6" t="s">
        <v>43</v>
      </c>
      <c r="AR2" s="6" t="s">
        <v>43</v>
      </c>
      <c r="AS2" s="6" t="s">
        <v>43</v>
      </c>
      <c r="AT2" s="6" t="s">
        <v>43</v>
      </c>
      <c r="AU2" s="6" t="s">
        <v>43</v>
      </c>
      <c r="AV2" s="6" t="s">
        <v>43</v>
      </c>
    </row>
    <row r="3" customFormat="false" ht="36.5" hidden="false" customHeight="false" outlineLevel="0" collapsed="false">
      <c r="A3" s="9" t="n">
        <v>40</v>
      </c>
      <c r="B3" s="10" t="s">
        <v>44</v>
      </c>
      <c r="C3" s="10" t="s">
        <v>17</v>
      </c>
      <c r="D3" s="10" t="s">
        <v>18</v>
      </c>
      <c r="E3" s="10" t="s">
        <v>19</v>
      </c>
      <c r="F3" s="10" t="s">
        <v>20</v>
      </c>
      <c r="G3" s="10" t="s">
        <v>21</v>
      </c>
      <c r="H3" s="10" t="s">
        <v>22</v>
      </c>
      <c r="I3" s="10" t="s">
        <v>23</v>
      </c>
      <c r="J3" s="11" t="n">
        <v>50</v>
      </c>
      <c r="K3" s="10" t="s">
        <v>24</v>
      </c>
      <c r="L3" s="12" t="n">
        <v>0.9</v>
      </c>
      <c r="M3" s="9" t="n">
        <v>695</v>
      </c>
      <c r="N3" s="10" t="s">
        <v>25</v>
      </c>
      <c r="O3" s="9" t="n">
        <v>85</v>
      </c>
      <c r="P3" s="10" t="s">
        <v>26</v>
      </c>
      <c r="Q3" s="10" t="s">
        <v>45</v>
      </c>
      <c r="R3" s="10" t="s">
        <v>46</v>
      </c>
      <c r="S3" s="10" t="s">
        <v>47</v>
      </c>
      <c r="T3" s="10" t="s">
        <v>48</v>
      </c>
      <c r="U3" s="10" t="s">
        <v>49</v>
      </c>
      <c r="V3" s="10" t="s">
        <v>50</v>
      </c>
      <c r="W3" s="10" t="s">
        <v>51</v>
      </c>
      <c r="X3" s="10" t="s">
        <v>52</v>
      </c>
      <c r="Y3" s="10" t="s">
        <v>53</v>
      </c>
      <c r="Z3" s="10" t="s">
        <v>54</v>
      </c>
      <c r="AA3" s="10" t="s">
        <v>55</v>
      </c>
      <c r="AB3" s="10" t="s">
        <v>56</v>
      </c>
      <c r="AC3" s="10" t="s">
        <v>57</v>
      </c>
      <c r="AD3" s="10" t="s">
        <v>40</v>
      </c>
      <c r="AE3" s="10" t="s">
        <v>41</v>
      </c>
      <c r="AF3" s="10" t="s">
        <v>42</v>
      </c>
      <c r="AG3" s="10" t="s">
        <v>43</v>
      </c>
      <c r="AH3" s="10" t="s">
        <v>43</v>
      </c>
      <c r="AI3" s="10" t="s">
        <v>43</v>
      </c>
      <c r="AJ3" s="10" t="s">
        <v>43</v>
      </c>
      <c r="AK3" s="10" t="s">
        <v>43</v>
      </c>
      <c r="AL3" s="10" t="s">
        <v>43</v>
      </c>
      <c r="AM3" s="10" t="s">
        <v>43</v>
      </c>
      <c r="AN3" s="10" t="s">
        <v>43</v>
      </c>
      <c r="AO3" s="10" t="s">
        <v>43</v>
      </c>
      <c r="AP3" s="10" t="s">
        <v>43</v>
      </c>
      <c r="AQ3" s="10" t="s">
        <v>43</v>
      </c>
      <c r="AR3" s="10" t="s">
        <v>43</v>
      </c>
      <c r="AS3" s="10" t="s">
        <v>43</v>
      </c>
      <c r="AT3" s="10" t="s">
        <v>43</v>
      </c>
      <c r="AU3" s="10" t="s">
        <v>43</v>
      </c>
      <c r="AV3" s="10" t="s">
        <v>43</v>
      </c>
    </row>
    <row r="4" customFormat="false" ht="36.5" hidden="false" customHeight="false" outlineLevel="0" collapsed="false">
      <c r="A4" s="5" t="n">
        <v>44</v>
      </c>
      <c r="B4" s="6" t="s">
        <v>58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7" t="n">
        <v>50</v>
      </c>
      <c r="K4" s="6" t="s">
        <v>24</v>
      </c>
      <c r="L4" s="8" t="n">
        <v>0.9</v>
      </c>
      <c r="M4" s="5"/>
      <c r="N4" s="6" t="s">
        <v>25</v>
      </c>
      <c r="O4" s="5"/>
      <c r="P4" s="6"/>
      <c r="Q4" s="6" t="s">
        <v>59</v>
      </c>
      <c r="R4" s="6" t="s">
        <v>60</v>
      </c>
      <c r="S4" s="6" t="s">
        <v>61</v>
      </c>
      <c r="T4" s="6" t="s">
        <v>62</v>
      </c>
      <c r="U4" s="6" t="s">
        <v>63</v>
      </c>
      <c r="V4" s="6" t="s">
        <v>64</v>
      </c>
      <c r="W4" s="6" t="s">
        <v>65</v>
      </c>
      <c r="X4" s="6" t="s">
        <v>66</v>
      </c>
      <c r="Y4" s="6" t="s">
        <v>67</v>
      </c>
      <c r="Z4" s="6" t="s">
        <v>68</v>
      </c>
      <c r="AA4" s="6" t="s">
        <v>69</v>
      </c>
      <c r="AB4" s="6" t="s">
        <v>70</v>
      </c>
      <c r="AC4" s="6" t="s">
        <v>71</v>
      </c>
      <c r="AD4" s="6" t="s">
        <v>40</v>
      </c>
      <c r="AE4" s="6" t="s">
        <v>72</v>
      </c>
      <c r="AF4" s="6" t="s">
        <v>72</v>
      </c>
      <c r="AG4" s="6" t="s">
        <v>43</v>
      </c>
      <c r="AH4" s="6" t="s">
        <v>43</v>
      </c>
      <c r="AI4" s="6" t="s">
        <v>43</v>
      </c>
      <c r="AJ4" s="6" t="s">
        <v>43</v>
      </c>
      <c r="AK4" s="6" t="s">
        <v>43</v>
      </c>
      <c r="AL4" s="6" t="s">
        <v>43</v>
      </c>
      <c r="AM4" s="6" t="s">
        <v>43</v>
      </c>
      <c r="AN4" s="6" t="s">
        <v>43</v>
      </c>
      <c r="AO4" s="6" t="s">
        <v>43</v>
      </c>
      <c r="AP4" s="6" t="s">
        <v>43</v>
      </c>
      <c r="AQ4" s="6" t="s">
        <v>43</v>
      </c>
      <c r="AR4" s="6" t="s">
        <v>43</v>
      </c>
      <c r="AS4" s="6" t="s">
        <v>73</v>
      </c>
      <c r="AT4" s="6" t="s">
        <v>43</v>
      </c>
      <c r="AU4" s="6" t="s">
        <v>73</v>
      </c>
      <c r="AV4" s="6" t="s">
        <v>73</v>
      </c>
    </row>
    <row r="5" customFormat="false" ht="36.5" hidden="false" customHeight="false" outlineLevel="0" collapsed="false">
      <c r="A5" s="9" t="n">
        <v>46</v>
      </c>
      <c r="B5" s="10" t="s">
        <v>74</v>
      </c>
      <c r="C5" s="10" t="s">
        <v>75</v>
      </c>
      <c r="D5" s="10" t="s">
        <v>18</v>
      </c>
      <c r="E5" s="10" t="s">
        <v>19</v>
      </c>
      <c r="F5" s="10" t="s">
        <v>20</v>
      </c>
      <c r="G5" s="10" t="s">
        <v>21</v>
      </c>
      <c r="H5" s="10" t="s">
        <v>22</v>
      </c>
      <c r="I5" s="10" t="s">
        <v>23</v>
      </c>
      <c r="J5" s="11" t="n">
        <v>58</v>
      </c>
      <c r="K5" s="10" t="s">
        <v>76</v>
      </c>
      <c r="L5" s="12" t="n">
        <v>0.95</v>
      </c>
      <c r="M5" s="9" t="n">
        <v>978</v>
      </c>
      <c r="N5" s="10" t="s">
        <v>25</v>
      </c>
      <c r="O5" s="9" t="n">
        <v>85</v>
      </c>
      <c r="P5" s="10" t="s">
        <v>26</v>
      </c>
      <c r="Q5" s="10" t="s">
        <v>77</v>
      </c>
      <c r="R5" s="10" t="s">
        <v>78</v>
      </c>
      <c r="S5" s="10" t="s">
        <v>79</v>
      </c>
      <c r="T5" s="10" t="s">
        <v>80</v>
      </c>
      <c r="U5" s="10" t="s">
        <v>81</v>
      </c>
      <c r="V5" s="10" t="s">
        <v>82</v>
      </c>
      <c r="W5" s="10" t="s">
        <v>83</v>
      </c>
      <c r="X5" s="10" t="s">
        <v>84</v>
      </c>
      <c r="Y5" s="10" t="s">
        <v>85</v>
      </c>
      <c r="Z5" s="10" t="s">
        <v>86</v>
      </c>
      <c r="AA5" s="10" t="s">
        <v>87</v>
      </c>
      <c r="AB5" s="10" t="s">
        <v>88</v>
      </c>
      <c r="AC5" s="10" t="s">
        <v>89</v>
      </c>
      <c r="AD5" s="10" t="s">
        <v>40</v>
      </c>
      <c r="AE5" s="10" t="s">
        <v>41</v>
      </c>
      <c r="AF5" s="10" t="s">
        <v>42</v>
      </c>
      <c r="AG5" s="10" t="s">
        <v>43</v>
      </c>
      <c r="AH5" s="10" t="s">
        <v>43</v>
      </c>
      <c r="AI5" s="10" t="s">
        <v>43</v>
      </c>
      <c r="AJ5" s="10" t="s">
        <v>43</v>
      </c>
      <c r="AK5" s="10" t="s">
        <v>43</v>
      </c>
      <c r="AL5" s="10" t="s">
        <v>43</v>
      </c>
      <c r="AM5" s="10" t="s">
        <v>43</v>
      </c>
      <c r="AN5" s="10" t="s">
        <v>43</v>
      </c>
      <c r="AO5" s="10" t="s">
        <v>43</v>
      </c>
      <c r="AP5" s="10" t="s">
        <v>43</v>
      </c>
      <c r="AQ5" s="10" t="s">
        <v>43</v>
      </c>
      <c r="AR5" s="10" t="s">
        <v>43</v>
      </c>
      <c r="AS5" s="10" t="s">
        <v>43</v>
      </c>
      <c r="AT5" s="10" t="s">
        <v>43</v>
      </c>
      <c r="AU5" s="10" t="s">
        <v>43</v>
      </c>
      <c r="AV5" s="10" t="s">
        <v>43</v>
      </c>
    </row>
    <row r="6" customFormat="false" ht="36.5" hidden="false" customHeight="false" outlineLevel="0" collapsed="false">
      <c r="A6" s="5" t="n">
        <v>52</v>
      </c>
      <c r="B6" s="6" t="s">
        <v>90</v>
      </c>
      <c r="C6" s="6" t="s">
        <v>75</v>
      </c>
      <c r="D6" s="6" t="s">
        <v>23</v>
      </c>
      <c r="E6" s="6" t="s">
        <v>19</v>
      </c>
      <c r="F6" s="6" t="s">
        <v>18</v>
      </c>
      <c r="G6" s="6" t="s">
        <v>22</v>
      </c>
      <c r="H6" s="6" t="s">
        <v>21</v>
      </c>
      <c r="I6" s="6" t="s">
        <v>20</v>
      </c>
      <c r="J6" s="7" t="n">
        <v>58</v>
      </c>
      <c r="K6" s="6" t="s">
        <v>76</v>
      </c>
      <c r="L6" s="8" t="n">
        <v>0.95</v>
      </c>
      <c r="M6" s="5"/>
      <c r="N6" s="6" t="s">
        <v>25</v>
      </c>
      <c r="O6" s="5"/>
      <c r="P6" s="6"/>
      <c r="Q6" s="6" t="s">
        <v>91</v>
      </c>
      <c r="R6" s="6" t="s">
        <v>92</v>
      </c>
      <c r="S6" s="6" t="s">
        <v>93</v>
      </c>
      <c r="T6" s="6" t="s">
        <v>94</v>
      </c>
      <c r="U6" s="6" t="s">
        <v>95</v>
      </c>
      <c r="V6" s="6" t="s">
        <v>96</v>
      </c>
      <c r="W6" s="6" t="s">
        <v>97</v>
      </c>
      <c r="X6" s="6" t="s">
        <v>98</v>
      </c>
      <c r="Y6" s="6" t="s">
        <v>99</v>
      </c>
      <c r="Z6" s="6" t="s">
        <v>100</v>
      </c>
      <c r="AA6" s="6" t="s">
        <v>101</v>
      </c>
      <c r="AB6" s="6" t="s">
        <v>102</v>
      </c>
      <c r="AC6" s="6" t="s">
        <v>103</v>
      </c>
      <c r="AD6" s="6" t="s">
        <v>40</v>
      </c>
      <c r="AE6" s="6" t="s">
        <v>104</v>
      </c>
      <c r="AF6" s="6" t="s">
        <v>104</v>
      </c>
      <c r="AG6" s="6" t="s">
        <v>43</v>
      </c>
      <c r="AH6" s="6" t="s">
        <v>43</v>
      </c>
      <c r="AI6" s="6" t="s">
        <v>43</v>
      </c>
      <c r="AJ6" s="6" t="s">
        <v>43</v>
      </c>
      <c r="AK6" s="6" t="s">
        <v>43</v>
      </c>
      <c r="AL6" s="6" t="s">
        <v>43</v>
      </c>
      <c r="AM6" s="6" t="s">
        <v>43</v>
      </c>
      <c r="AN6" s="6" t="s">
        <v>43</v>
      </c>
      <c r="AO6" s="6" t="s">
        <v>43</v>
      </c>
      <c r="AP6" s="6" t="s">
        <v>43</v>
      </c>
      <c r="AQ6" s="6" t="s">
        <v>43</v>
      </c>
      <c r="AR6" s="6" t="s">
        <v>43</v>
      </c>
      <c r="AS6" s="6" t="s">
        <v>73</v>
      </c>
      <c r="AT6" s="6" t="s">
        <v>43</v>
      </c>
      <c r="AU6" s="6" t="s">
        <v>73</v>
      </c>
      <c r="AV6" s="6" t="s">
        <v>73</v>
      </c>
    </row>
    <row r="7" customFormat="false" ht="36.5" hidden="false" customHeight="false" outlineLevel="0" collapsed="false">
      <c r="A7" s="9" t="n">
        <v>54</v>
      </c>
      <c r="B7" s="10" t="s">
        <v>105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  <c r="J7" s="11" t="n">
        <v>70</v>
      </c>
      <c r="K7" s="10" t="s">
        <v>106</v>
      </c>
      <c r="L7" s="12" t="n">
        <v>0.95</v>
      </c>
      <c r="M7" s="9"/>
      <c r="N7" s="10" t="s">
        <v>25</v>
      </c>
      <c r="O7" s="9"/>
      <c r="P7" s="10"/>
      <c r="Q7" s="10" t="s">
        <v>107</v>
      </c>
      <c r="R7" s="10" t="s">
        <v>108</v>
      </c>
      <c r="S7" s="10" t="s">
        <v>109</v>
      </c>
      <c r="T7" s="10" t="s">
        <v>110</v>
      </c>
      <c r="U7" s="10" t="s">
        <v>111</v>
      </c>
      <c r="V7" s="10" t="s">
        <v>112</v>
      </c>
      <c r="W7" s="10" t="s">
        <v>113</v>
      </c>
      <c r="X7" s="10" t="s">
        <v>114</v>
      </c>
      <c r="Y7" s="10" t="s">
        <v>115</v>
      </c>
      <c r="Z7" s="10" t="s">
        <v>116</v>
      </c>
      <c r="AA7" s="10" t="s">
        <v>117</v>
      </c>
      <c r="AB7" s="10" t="s">
        <v>118</v>
      </c>
      <c r="AC7" s="10" t="s">
        <v>119</v>
      </c>
      <c r="AD7" s="10" t="s">
        <v>40</v>
      </c>
      <c r="AE7" s="10" t="s">
        <v>120</v>
      </c>
      <c r="AF7" s="10" t="s">
        <v>120</v>
      </c>
      <c r="AG7" s="10" t="s">
        <v>43</v>
      </c>
      <c r="AH7" s="10" t="s">
        <v>43</v>
      </c>
      <c r="AI7" s="10" t="s">
        <v>43</v>
      </c>
      <c r="AJ7" s="10" t="s">
        <v>43</v>
      </c>
      <c r="AK7" s="10" t="s">
        <v>43</v>
      </c>
      <c r="AL7" s="10" t="s">
        <v>43</v>
      </c>
      <c r="AM7" s="10" t="s">
        <v>43</v>
      </c>
      <c r="AN7" s="10" t="s">
        <v>43</v>
      </c>
      <c r="AO7" s="10" t="s">
        <v>43</v>
      </c>
      <c r="AP7" s="10" t="s">
        <v>43</v>
      </c>
      <c r="AQ7" s="10" t="s">
        <v>43</v>
      </c>
      <c r="AR7" s="10" t="s">
        <v>43</v>
      </c>
      <c r="AS7" s="10" t="s">
        <v>73</v>
      </c>
      <c r="AT7" s="10" t="s">
        <v>43</v>
      </c>
      <c r="AU7" s="10" t="s">
        <v>73</v>
      </c>
      <c r="AV7" s="10" t="s">
        <v>73</v>
      </c>
    </row>
    <row r="8" customFormat="false" ht="36.5" hidden="false" customHeight="false" outlineLevel="0" collapsed="false">
      <c r="A8" s="5" t="n">
        <v>60</v>
      </c>
      <c r="B8" s="6" t="s">
        <v>121</v>
      </c>
      <c r="C8" s="6" t="s">
        <v>17</v>
      </c>
      <c r="D8" s="6" t="s">
        <v>18</v>
      </c>
      <c r="E8" s="6" t="s">
        <v>19</v>
      </c>
      <c r="F8" s="6" t="s">
        <v>20</v>
      </c>
      <c r="G8" s="6" t="s">
        <v>21</v>
      </c>
      <c r="H8" s="6" t="s">
        <v>22</v>
      </c>
      <c r="I8" s="6" t="s">
        <v>23</v>
      </c>
      <c r="J8" s="7" t="n">
        <v>68.5</v>
      </c>
      <c r="K8" s="6" t="s">
        <v>106</v>
      </c>
      <c r="L8" s="8" t="n">
        <v>0.95</v>
      </c>
      <c r="M8" s="5"/>
      <c r="N8" s="6" t="s">
        <v>25</v>
      </c>
      <c r="O8" s="5"/>
      <c r="P8" s="6"/>
      <c r="Q8" s="6" t="s">
        <v>122</v>
      </c>
      <c r="R8" s="6" t="s">
        <v>123</v>
      </c>
      <c r="S8" s="6" t="s">
        <v>124</v>
      </c>
      <c r="T8" s="6" t="s">
        <v>125</v>
      </c>
      <c r="U8" s="6" t="s">
        <v>126</v>
      </c>
      <c r="V8" s="6" t="s">
        <v>127</v>
      </c>
      <c r="W8" s="6" t="s">
        <v>128</v>
      </c>
      <c r="X8" s="6" t="s">
        <v>129</v>
      </c>
      <c r="Y8" s="6" t="s">
        <v>130</v>
      </c>
      <c r="Z8" s="6" t="s">
        <v>131</v>
      </c>
      <c r="AA8" s="6" t="s">
        <v>132</v>
      </c>
      <c r="AB8" s="6" t="s">
        <v>133</v>
      </c>
      <c r="AC8" s="6" t="s">
        <v>134</v>
      </c>
      <c r="AD8" s="6" t="s">
        <v>40</v>
      </c>
      <c r="AE8" s="6" t="s">
        <v>135</v>
      </c>
      <c r="AF8" s="6" t="s">
        <v>135</v>
      </c>
      <c r="AG8" s="6" t="s">
        <v>43</v>
      </c>
      <c r="AH8" s="6" t="s">
        <v>43</v>
      </c>
      <c r="AI8" s="6" t="s">
        <v>43</v>
      </c>
      <c r="AJ8" s="6" t="s">
        <v>43</v>
      </c>
      <c r="AK8" s="6" t="s">
        <v>43</v>
      </c>
      <c r="AL8" s="6" t="s">
        <v>43</v>
      </c>
      <c r="AM8" s="6" t="s">
        <v>43</v>
      </c>
      <c r="AN8" s="6" t="s">
        <v>43</v>
      </c>
      <c r="AO8" s="6" t="s">
        <v>43</v>
      </c>
      <c r="AP8" s="6" t="s">
        <v>43</v>
      </c>
      <c r="AQ8" s="6" t="s">
        <v>43</v>
      </c>
      <c r="AR8" s="6" t="s">
        <v>43</v>
      </c>
      <c r="AS8" s="6" t="s">
        <v>73</v>
      </c>
      <c r="AT8" s="6" t="s">
        <v>43</v>
      </c>
      <c r="AU8" s="6" t="s">
        <v>73</v>
      </c>
      <c r="AV8" s="6" t="s">
        <v>73</v>
      </c>
    </row>
    <row r="9" customFormat="false" ht="36.5" hidden="false" customHeight="false" outlineLevel="0" collapsed="false">
      <c r="A9" s="9" t="n">
        <v>82</v>
      </c>
      <c r="B9" s="10" t="s">
        <v>136</v>
      </c>
      <c r="C9" s="10" t="s">
        <v>17</v>
      </c>
      <c r="D9" s="10" t="s">
        <v>18</v>
      </c>
      <c r="E9" s="10" t="s">
        <v>19</v>
      </c>
      <c r="F9" s="10" t="s">
        <v>20</v>
      </c>
      <c r="G9" s="10" t="s">
        <v>21</v>
      </c>
      <c r="H9" s="10" t="s">
        <v>22</v>
      </c>
      <c r="I9" s="10" t="s">
        <v>23</v>
      </c>
      <c r="J9" s="11" t="n">
        <v>90</v>
      </c>
      <c r="K9" s="10" t="s">
        <v>137</v>
      </c>
      <c r="L9" s="12" t="n">
        <v>1.1</v>
      </c>
      <c r="M9" s="9"/>
      <c r="N9" s="10" t="s">
        <v>25</v>
      </c>
      <c r="O9" s="9"/>
      <c r="P9" s="10"/>
      <c r="Q9" s="10" t="s">
        <v>138</v>
      </c>
      <c r="R9" s="10" t="s">
        <v>139</v>
      </c>
      <c r="S9" s="10" t="s">
        <v>140</v>
      </c>
      <c r="T9" s="10" t="s">
        <v>141</v>
      </c>
      <c r="U9" s="10" t="s">
        <v>142</v>
      </c>
      <c r="V9" s="10" t="s">
        <v>143</v>
      </c>
      <c r="W9" s="10" t="s">
        <v>144</v>
      </c>
      <c r="X9" s="10" t="s">
        <v>145</v>
      </c>
      <c r="Y9" s="10" t="s">
        <v>146</v>
      </c>
      <c r="Z9" s="10" t="s">
        <v>147</v>
      </c>
      <c r="AA9" s="10" t="s">
        <v>148</v>
      </c>
      <c r="AB9" s="10" t="s">
        <v>149</v>
      </c>
      <c r="AC9" s="10" t="s">
        <v>150</v>
      </c>
      <c r="AD9" s="10" t="s">
        <v>40</v>
      </c>
      <c r="AE9" s="10" t="s">
        <v>151</v>
      </c>
      <c r="AF9" s="10" t="s">
        <v>151</v>
      </c>
      <c r="AG9" s="10" t="s">
        <v>43</v>
      </c>
      <c r="AH9" s="10" t="s">
        <v>43</v>
      </c>
      <c r="AI9" s="10" t="s">
        <v>43</v>
      </c>
      <c r="AJ9" s="10" t="s">
        <v>43</v>
      </c>
      <c r="AK9" s="10" t="s">
        <v>43</v>
      </c>
      <c r="AL9" s="10" t="s">
        <v>43</v>
      </c>
      <c r="AM9" s="10" t="s">
        <v>43</v>
      </c>
      <c r="AN9" s="10" t="s">
        <v>43</v>
      </c>
      <c r="AO9" s="10" t="s">
        <v>43</v>
      </c>
      <c r="AP9" s="10" t="s">
        <v>43</v>
      </c>
      <c r="AQ9" s="10" t="s">
        <v>43</v>
      </c>
      <c r="AR9" s="10" t="s">
        <v>43</v>
      </c>
      <c r="AS9" s="10" t="s">
        <v>73</v>
      </c>
      <c r="AT9" s="10" t="s">
        <v>43</v>
      </c>
      <c r="AU9" s="10" t="s">
        <v>73</v>
      </c>
      <c r="AV9" s="10" t="s">
        <v>73</v>
      </c>
    </row>
  </sheetData>
  <conditionalFormatting sqref="AG2:AV9">
    <cfRule type="expression" priority="2" aboveAverage="0" equalAverage="0" bottom="0" percent="0" rank="0" text="" dxfId="8">
      <formula>AG2="NS"</formula>
    </cfRule>
    <cfRule type="expression" priority="3" aboveAverage="0" equalAverage="0" bottom="0" percent="0" rank="0" text="" dxfId="9">
      <formula>AG2="RENSEIGNE"</formula>
    </cfRule>
    <cfRule type="expression" priority="4" aboveAverage="0" equalAverage="0" bottom="0" percent="0" rank="0" text="" dxfId="10">
      <formula>AG2="[HYP]"</formula>
    </cfRule>
  </conditionalFormatting>
  <dataValidations count="1">
    <dataValidation allowBlank="false" errorStyle="stop" operator="between" showDropDown="false" showErrorMessage="false" showInputMessage="false" sqref="AG2:AV9" type="list">
      <formula1>"RENSEIGNE,NS,[HYP]"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F15" activeCellId="0" sqref="F15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42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3" t="s">
        <v>152</v>
      </c>
      <c r="B1" s="13" t="s">
        <v>153</v>
      </c>
      <c r="C1" s="13" t="s">
        <v>154</v>
      </c>
      <c r="D1" s="13" t="s">
        <v>155</v>
      </c>
      <c r="E1" s="14"/>
      <c r="F1" s="15" t="s">
        <v>156</v>
      </c>
      <c r="G1" s="15" t="s">
        <v>157</v>
      </c>
      <c r="H1" s="15" t="s">
        <v>158</v>
      </c>
      <c r="I1" s="15" t="s">
        <v>159</v>
      </c>
    </row>
    <row r="2" customFormat="false" ht="15" hidden="false" customHeight="false" outlineLevel="0" collapsed="false">
      <c r="A2" s="16" t="s">
        <v>160</v>
      </c>
      <c r="B2" s="16" t="s">
        <v>17</v>
      </c>
      <c r="C2" s="16" t="n">
        <f aca="false">COUNTIF(Variantes!$C$2:$C$9,B2)</f>
        <v>6</v>
      </c>
      <c r="D2" s="16" t="str">
        <f aca="false">IF(C2&gt;4,"Majorité stricte","Pas de majorité stricte")</f>
        <v>Majorité stricte</v>
      </c>
      <c r="E2" s="14"/>
      <c r="F2" s="17" t="s">
        <v>160</v>
      </c>
      <c r="G2" s="17" t="s">
        <v>161</v>
      </c>
      <c r="H2" s="17" t="s">
        <v>162</v>
      </c>
      <c r="I2" s="17" t="s">
        <v>163</v>
      </c>
    </row>
    <row r="3" customFormat="false" ht="15" hidden="false" customHeight="false" outlineLevel="0" collapsed="false">
      <c r="A3" s="18" t="s">
        <v>160</v>
      </c>
      <c r="B3" s="18" t="s">
        <v>75</v>
      </c>
      <c r="C3" s="18" t="n">
        <f aca="false">COUNTIF(Variantes!$C$2:$C$9,B3)</f>
        <v>2</v>
      </c>
      <c r="D3" s="18" t="str">
        <f aca="false">IF(C3&gt;4,"Majorité stricte","Pas de majorité stricte")</f>
        <v>Pas de majorité stricte</v>
      </c>
      <c r="E3" s="14"/>
      <c r="F3" s="19" t="s">
        <v>164</v>
      </c>
      <c r="G3" s="19" t="s">
        <v>165</v>
      </c>
      <c r="H3" s="19" t="s">
        <v>166</v>
      </c>
      <c r="I3" s="19" t="s">
        <v>163</v>
      </c>
    </row>
    <row r="4" customFormat="false" ht="15" hidden="false" customHeight="false" outlineLevel="0" collapsed="false">
      <c r="A4" s="16" t="s">
        <v>167</v>
      </c>
      <c r="B4" s="16" t="s">
        <v>24</v>
      </c>
      <c r="C4" s="16" t="n">
        <f aca="false">COUNTIF(Variantes!$K$2:$K$9,B4)</f>
        <v>3</v>
      </c>
      <c r="D4" s="16" t="str">
        <f aca="false">IF(C4&gt;4,"Majorité stricte","Pas de majorité stricte")</f>
        <v>Pas de majorité stricte</v>
      </c>
      <c r="E4" s="14"/>
      <c r="F4" s="17" t="s">
        <v>167</v>
      </c>
      <c r="G4" s="17" t="s">
        <v>168</v>
      </c>
      <c r="H4" s="17" t="s">
        <v>169</v>
      </c>
      <c r="I4" s="17" t="s">
        <v>163</v>
      </c>
    </row>
    <row r="5" customFormat="false" ht="24" hidden="false" customHeight="false" outlineLevel="0" collapsed="false">
      <c r="A5" s="18" t="s">
        <v>167</v>
      </c>
      <c r="B5" s="18" t="s">
        <v>76</v>
      </c>
      <c r="C5" s="18" t="n">
        <f aca="false">COUNTIF(Variantes!$K$2:$K$9,B5)</f>
        <v>2</v>
      </c>
      <c r="D5" s="18" t="str">
        <f aca="false">IF(C5&gt;4,"Majorité stricte","Pas de majorité stricte")</f>
        <v>Pas de majorité stricte</v>
      </c>
      <c r="E5" s="14"/>
      <c r="F5" s="19" t="s">
        <v>170</v>
      </c>
      <c r="G5" s="19" t="s">
        <v>171</v>
      </c>
      <c r="H5" s="19" t="s">
        <v>172</v>
      </c>
      <c r="I5" s="19" t="s">
        <v>163</v>
      </c>
    </row>
    <row r="6" customFormat="false" ht="15" hidden="false" customHeight="false" outlineLevel="0" collapsed="false">
      <c r="A6" s="16" t="s">
        <v>167</v>
      </c>
      <c r="B6" s="16" t="s">
        <v>106</v>
      </c>
      <c r="C6" s="16" t="n">
        <f aca="false">COUNTIF(Variantes!$K$2:$K$9,B6)</f>
        <v>2</v>
      </c>
      <c r="D6" s="16" t="str">
        <f aca="false">IF(C6&gt;4,"Majorité stricte","Pas de majorité stricte")</f>
        <v>Pas de majorité stricte</v>
      </c>
      <c r="E6" s="14"/>
      <c r="F6" s="17" t="s">
        <v>173</v>
      </c>
      <c r="G6" s="17" t="s">
        <v>174</v>
      </c>
      <c r="H6" s="17" t="s">
        <v>175</v>
      </c>
      <c r="I6" s="17" t="s">
        <v>163</v>
      </c>
    </row>
    <row r="7" customFormat="false" ht="15" hidden="false" customHeight="false" outlineLevel="0" collapsed="false">
      <c r="A7" s="18" t="s">
        <v>167</v>
      </c>
      <c r="B7" s="18" t="s">
        <v>137</v>
      </c>
      <c r="C7" s="18" t="n">
        <f aca="false">COUNTIF(Variantes!$K$2:$K$9,B7)</f>
        <v>1</v>
      </c>
      <c r="D7" s="18" t="str">
        <f aca="false">IF(C7&gt;4,"Majorité stricte","Pas de majorité stricte")</f>
        <v>Pas de majorité stricte</v>
      </c>
      <c r="E7" s="14"/>
      <c r="F7" s="19" t="s">
        <v>176</v>
      </c>
      <c r="G7" s="19" t="s">
        <v>177</v>
      </c>
      <c r="H7" s="19" t="s">
        <v>178</v>
      </c>
      <c r="I7" s="19" t="s">
        <v>179</v>
      </c>
    </row>
    <row r="8" customFormat="false" ht="15" hidden="false" customHeight="false" outlineLevel="0" collapsed="false">
      <c r="A8" s="16" t="s">
        <v>170</v>
      </c>
      <c r="B8" s="16" t="n">
        <v>40</v>
      </c>
      <c r="C8" s="16" t="n">
        <f aca="false">COUNTIF(Variantes!$J$2:$J$9,B8)</f>
        <v>1</v>
      </c>
      <c r="D8" s="16" t="str">
        <f aca="false">IF(C8&gt;4,"Majorité stricte","Pas de majorité stricte")</f>
        <v>Pas de majorité stricte</v>
      </c>
      <c r="E8" s="14"/>
      <c r="F8" s="17" t="s">
        <v>180</v>
      </c>
      <c r="G8" s="17" t="s">
        <v>181</v>
      </c>
      <c r="H8" s="17" t="s">
        <v>182</v>
      </c>
      <c r="I8" s="17" t="s">
        <v>163</v>
      </c>
    </row>
    <row r="9" customFormat="false" ht="15" hidden="false" customHeight="false" outlineLevel="0" collapsed="false">
      <c r="A9" s="18" t="s">
        <v>170</v>
      </c>
      <c r="B9" s="18" t="n">
        <v>50</v>
      </c>
      <c r="C9" s="18" t="n">
        <f aca="false">COUNTIF(Variantes!$J$2:$J$9,B9)</f>
        <v>2</v>
      </c>
      <c r="D9" s="18" t="str">
        <f aca="false">IF(C9&gt;4,"Majorité stricte","Pas de majorité stricte")</f>
        <v>Pas de majorité stricte</v>
      </c>
      <c r="E9" s="14"/>
      <c r="F9" s="14"/>
      <c r="G9" s="14"/>
      <c r="H9" s="14"/>
      <c r="I9" s="14"/>
    </row>
    <row r="10" customFormat="false" ht="15" hidden="false" customHeight="false" outlineLevel="0" collapsed="false">
      <c r="A10" s="16" t="s">
        <v>170</v>
      </c>
      <c r="B10" s="16" t="n">
        <v>58</v>
      </c>
      <c r="C10" s="16" t="n">
        <f aca="false">COUNTIF(Variantes!$J$2:$J$9,B10)</f>
        <v>2</v>
      </c>
      <c r="D10" s="16" t="str">
        <f aca="false">IF(C10&gt;4,"Majorité stricte","Pas de majorité stricte")</f>
        <v>Pas de majorité stricte</v>
      </c>
      <c r="E10" s="14"/>
      <c r="F10" s="14"/>
      <c r="G10" s="14"/>
      <c r="H10" s="14"/>
      <c r="I10" s="14"/>
    </row>
    <row r="11" customFormat="false" ht="15" hidden="false" customHeight="false" outlineLevel="0" collapsed="false">
      <c r="A11" s="18" t="s">
        <v>170</v>
      </c>
      <c r="B11" s="18" t="n">
        <v>68.5</v>
      </c>
      <c r="C11" s="18" t="n">
        <f aca="false">COUNTIF(Variantes!$J$2:$J$9,B11)</f>
        <v>1</v>
      </c>
      <c r="D11" s="18" t="str">
        <f aca="false">IF(C11&gt;4,"Majorité stricte","Pas de majorité stricte")</f>
        <v>Pas de majorité stricte</v>
      </c>
      <c r="E11" s="14"/>
      <c r="F11" s="14"/>
      <c r="G11" s="14"/>
      <c r="H11" s="14"/>
      <c r="I11" s="14"/>
    </row>
    <row r="12" customFormat="false" ht="15" hidden="false" customHeight="false" outlineLevel="0" collapsed="false">
      <c r="A12" s="16" t="s">
        <v>170</v>
      </c>
      <c r="B12" s="16" t="n">
        <v>70</v>
      </c>
      <c r="C12" s="16" t="n">
        <f aca="false">COUNTIF(Variantes!$J$2:$J$9,B12)</f>
        <v>1</v>
      </c>
      <c r="D12" s="16" t="str">
        <f aca="false">IF(C12&gt;4,"Majorité stricte","Pas de majorité stricte")</f>
        <v>Pas de majorité stricte</v>
      </c>
      <c r="E12" s="14"/>
      <c r="F12" s="14"/>
      <c r="G12" s="14"/>
      <c r="H12" s="14"/>
      <c r="I12" s="14"/>
    </row>
    <row r="13" customFormat="false" ht="15" hidden="false" customHeight="false" outlineLevel="0" collapsed="false">
      <c r="A13" s="18" t="s">
        <v>170</v>
      </c>
      <c r="B13" s="18" t="n">
        <v>90</v>
      </c>
      <c r="C13" s="18" t="n">
        <f aca="false">COUNTIF(Variantes!$J$2:$J$9,B13)</f>
        <v>1</v>
      </c>
      <c r="D13" s="18" t="str">
        <f aca="false">IF(C13&gt;4,"Majorité stricte","Pas de majorité stricte")</f>
        <v>Pas de majorité stricte</v>
      </c>
      <c r="E13" s="14"/>
      <c r="F13" s="14"/>
      <c r="G13" s="14"/>
      <c r="H13" s="14"/>
      <c r="I13" s="14"/>
    </row>
    <row r="15" customFormat="false" ht="15" hidden="false" customHeight="false" outlineLevel="0" collapsed="false">
      <c r="C15" s="0" t="s">
        <v>183</v>
      </c>
    </row>
  </sheetData>
  <conditionalFormatting sqref="D2:D13">
    <cfRule type="expression" priority="2" aboveAverage="0" equalAverage="0" bottom="0" percent="0" rank="0" text="" dxfId="11">
      <formula>D2="Majorité stricte"</formula>
    </cfRule>
    <cfRule type="expression" priority="3" aboveAverage="0" equalAverage="0" bottom="0" percent="0" rank="0" text="" dxfId="12">
      <formula>D2="Pas de majorité stricte"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6" activeCellId="0" sqref="D16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34"/>
    <col collapsed="false" customWidth="true" hidden="false" outlineLevel="0" max="6" min="5" style="0" width="42"/>
    <col collapsed="false" customWidth="true" hidden="false" outlineLevel="0" max="7" min="7" style="0" width="44"/>
    <col collapsed="false" customWidth="true" hidden="false" outlineLevel="0" max="16384" min="16384" style="0" width="11.53"/>
  </cols>
  <sheetData>
    <row r="1" s="20" customFormat="true" ht="18.7" hidden="false" customHeight="true" outlineLevel="0" collapsed="false">
      <c r="A1" s="13" t="s">
        <v>184</v>
      </c>
      <c r="B1" s="13" t="s">
        <v>152</v>
      </c>
      <c r="C1" s="13" t="s">
        <v>185</v>
      </c>
      <c r="D1" s="13" t="s">
        <v>153</v>
      </c>
      <c r="E1" s="13" t="s">
        <v>186</v>
      </c>
      <c r="F1" s="13" t="s">
        <v>187</v>
      </c>
      <c r="G1" s="13" t="s">
        <v>188</v>
      </c>
    </row>
    <row r="2" s="22" customFormat="true" ht="22.45" hidden="false" customHeight="false" outlineLevel="0" collapsed="false">
      <c r="A2" s="21" t="n">
        <v>54</v>
      </c>
      <c r="B2" s="16" t="s">
        <v>160</v>
      </c>
      <c r="C2" s="16" t="s">
        <v>189</v>
      </c>
      <c r="D2" s="16" t="str">
        <f aca="false">Variantes!C7</f>
        <v>D261.205.358-01</v>
      </c>
      <c r="E2" s="16" t="s">
        <v>190</v>
      </c>
      <c r="F2" s="16" t="s">
        <v>191</v>
      </c>
      <c r="G2" s="16" t="s">
        <v>109</v>
      </c>
    </row>
    <row r="3" s="22" customFormat="true" ht="22.45" hidden="false" customHeight="false" outlineLevel="0" collapsed="false">
      <c r="A3" s="21" t="n">
        <v>54</v>
      </c>
      <c r="B3" s="18" t="s">
        <v>192</v>
      </c>
      <c r="C3" s="18" t="s">
        <v>193</v>
      </c>
      <c r="D3" s="18" t="str">
        <f aca="false">Variantes!D7&amp;" ; "&amp;Variantes!E7&amp;" ; "&amp;Variantes!F7&amp;" ; "&amp;Variantes!G7&amp;" ; "&amp;Variantes!H7&amp;" ; "&amp;Variantes!I7</f>
        <v>Motor - ; Poti - ; Poti + ; Motor + ; Poti 2 ; Poti 1</v>
      </c>
      <c r="E3" s="18" t="s">
        <v>194</v>
      </c>
      <c r="F3" s="18" t="s">
        <v>195</v>
      </c>
      <c r="G3" s="18" t="s">
        <v>196</v>
      </c>
    </row>
    <row r="4" s="22" customFormat="true" ht="22.45" hidden="false" customHeight="false" outlineLevel="0" collapsed="false">
      <c r="A4" s="21" t="n">
        <v>54</v>
      </c>
      <c r="B4" s="16" t="s">
        <v>170</v>
      </c>
      <c r="C4" s="16" t="s">
        <v>197</v>
      </c>
      <c r="D4" s="16" t="str">
        <f aca="false">TEXT(Variantes!J7,"0.0")&amp;" mm"</f>
        <v>70,0 mm</v>
      </c>
      <c r="E4" s="16" t="s">
        <v>198</v>
      </c>
      <c r="F4" s="16" t="s">
        <v>199</v>
      </c>
      <c r="G4" s="16" t="s">
        <v>116</v>
      </c>
    </row>
    <row r="5" s="22" customFormat="true" ht="22.45" hidden="false" customHeight="false" outlineLevel="0" collapsed="false">
      <c r="A5" s="21" t="n">
        <v>54</v>
      </c>
      <c r="B5" s="18" t="s">
        <v>167</v>
      </c>
      <c r="C5" s="18" t="s">
        <v>200</v>
      </c>
      <c r="D5" s="18" t="str">
        <f aca="false">Variantes!K7</f>
        <v>60 x 60</v>
      </c>
      <c r="E5" s="18" t="s">
        <v>201</v>
      </c>
      <c r="F5" s="18" t="s">
        <v>202</v>
      </c>
      <c r="G5" s="18" t="s">
        <v>117</v>
      </c>
    </row>
    <row r="6" s="22" customFormat="true" ht="22.45" hidden="false" customHeight="false" outlineLevel="0" collapsed="false">
      <c r="A6" s="21" t="n">
        <v>54</v>
      </c>
      <c r="B6" s="16" t="s">
        <v>173</v>
      </c>
      <c r="C6" s="16" t="s">
        <v>203</v>
      </c>
      <c r="D6" s="16" t="str">
        <f aca="false">TEXT(Variantes!A7,"0")&amp;" mm"</f>
        <v>54 mm</v>
      </c>
      <c r="E6" s="16" t="s">
        <v>204</v>
      </c>
      <c r="F6" s="16" t="s">
        <v>205</v>
      </c>
      <c r="G6" s="16" t="s">
        <v>206</v>
      </c>
    </row>
    <row r="7" s="22" customFormat="true" ht="22.45" hidden="false" customHeight="false" outlineLevel="0" collapsed="false">
      <c r="A7" s="21" t="n">
        <v>54</v>
      </c>
      <c r="B7" s="18" t="s">
        <v>180</v>
      </c>
      <c r="C7" s="18" t="s">
        <v>207</v>
      </c>
      <c r="D7" s="18" t="str">
        <f aca="false">"NS"</f>
        <v>NS</v>
      </c>
      <c r="E7" s="18" t="s">
        <v>208</v>
      </c>
      <c r="F7" s="18" t="s">
        <v>209</v>
      </c>
      <c r="G7" s="18" t="s">
        <v>119</v>
      </c>
    </row>
    <row r="8" s="22" customFormat="true" ht="15" hidden="false" customHeight="false" outlineLevel="0" collapsed="false">
      <c r="A8" s="21" t="n">
        <v>54</v>
      </c>
      <c r="B8" s="16" t="s">
        <v>210</v>
      </c>
      <c r="C8" s="16" t="s">
        <v>211</v>
      </c>
      <c r="D8" s="16" t="str">
        <f aca="false">Variantes!N7</f>
        <v>antihoraire (vue A)</v>
      </c>
      <c r="E8" s="16" t="s">
        <v>212</v>
      </c>
      <c r="F8" s="16" t="s">
        <v>213</v>
      </c>
      <c r="G8" s="16" t="s">
        <v>214</v>
      </c>
    </row>
    <row r="9" s="22" customFormat="true" ht="22.45" hidden="false" customHeight="false" outlineLevel="0" collapsed="false">
      <c r="A9" s="21" t="n">
        <v>54</v>
      </c>
      <c r="B9" s="18" t="s">
        <v>215</v>
      </c>
      <c r="C9" s="18" t="s">
        <v>216</v>
      </c>
      <c r="D9" s="18" t="str">
        <f aca="false">TEXT(Variantes!L7,"0.00")&amp;" kg"</f>
        <v>0,95 kg</v>
      </c>
      <c r="E9" s="18" t="s">
        <v>217</v>
      </c>
      <c r="F9" s="18" t="s">
        <v>218</v>
      </c>
      <c r="G9" s="18" t="s">
        <v>118</v>
      </c>
    </row>
    <row r="10" s="22" customFormat="true" ht="22.45" hidden="false" customHeight="false" outlineLevel="0" collapsed="false">
      <c r="A10" s="23" t="n">
        <v>82</v>
      </c>
      <c r="B10" s="16" t="s">
        <v>160</v>
      </c>
      <c r="C10" s="16" t="s">
        <v>189</v>
      </c>
      <c r="D10" s="16" t="str">
        <f aca="false">Variantes!C9</f>
        <v>D261.205.358-01</v>
      </c>
      <c r="E10" s="16" t="s">
        <v>190</v>
      </c>
      <c r="F10" s="16" t="s">
        <v>191</v>
      </c>
      <c r="G10" s="16" t="s">
        <v>140</v>
      </c>
    </row>
    <row r="11" s="22" customFormat="true" ht="22.45" hidden="false" customHeight="false" outlineLevel="0" collapsed="false">
      <c r="A11" s="23" t="n">
        <v>82</v>
      </c>
      <c r="B11" s="18" t="s">
        <v>192</v>
      </c>
      <c r="C11" s="18" t="s">
        <v>193</v>
      </c>
      <c r="D11" s="18" t="str">
        <f aca="false">Variantes!D9&amp;" ; "&amp;Variantes!E9&amp;" ; "&amp;Variantes!F9&amp;" ; "&amp;Variantes!G9&amp;" ; "&amp;Variantes!H9&amp;" ; "&amp;Variantes!I9</f>
        <v>Motor - ; Poti - ; Poti + ; Motor + ; Poti 2 ; Poti 1</v>
      </c>
      <c r="E11" s="18" t="s">
        <v>194</v>
      </c>
      <c r="F11" s="18" t="s">
        <v>195</v>
      </c>
      <c r="G11" s="18" t="s">
        <v>219</v>
      </c>
    </row>
    <row r="12" s="22" customFormat="true" ht="22.45" hidden="false" customHeight="false" outlineLevel="0" collapsed="false">
      <c r="A12" s="23" t="n">
        <v>82</v>
      </c>
      <c r="B12" s="16" t="s">
        <v>170</v>
      </c>
      <c r="C12" s="16" t="s">
        <v>197</v>
      </c>
      <c r="D12" s="16" t="str">
        <f aca="false">TEXT(Variantes!J9,"0.0")&amp;" mm"</f>
        <v>90,0 mm</v>
      </c>
      <c r="E12" s="16" t="s">
        <v>220</v>
      </c>
      <c r="F12" s="16" t="s">
        <v>199</v>
      </c>
      <c r="G12" s="16" t="s">
        <v>147</v>
      </c>
    </row>
    <row r="13" s="22" customFormat="true" ht="22.45" hidden="false" customHeight="false" outlineLevel="0" collapsed="false">
      <c r="A13" s="23" t="n">
        <v>82</v>
      </c>
      <c r="B13" s="18" t="s">
        <v>167</v>
      </c>
      <c r="C13" s="18" t="s">
        <v>200</v>
      </c>
      <c r="D13" s="18" t="str">
        <f aca="false">Variantes!K9</f>
        <v>75 x 75</v>
      </c>
      <c r="E13" s="18" t="s">
        <v>221</v>
      </c>
      <c r="F13" s="18" t="s">
        <v>202</v>
      </c>
      <c r="G13" s="18" t="s">
        <v>148</v>
      </c>
    </row>
    <row r="14" s="22" customFormat="true" ht="22.45" hidden="false" customHeight="false" outlineLevel="0" collapsed="false">
      <c r="A14" s="23" t="n">
        <v>82</v>
      </c>
      <c r="B14" s="16" t="s">
        <v>173</v>
      </c>
      <c r="C14" s="16" t="s">
        <v>203</v>
      </c>
      <c r="D14" s="16" t="str">
        <f aca="false">TEXT(Variantes!A9,"0")&amp;" mm"</f>
        <v>82 mm</v>
      </c>
      <c r="E14" s="16" t="s">
        <v>222</v>
      </c>
      <c r="F14" s="16" t="s">
        <v>205</v>
      </c>
      <c r="G14" s="16" t="s">
        <v>223</v>
      </c>
    </row>
    <row r="15" s="22" customFormat="true" ht="22.45" hidden="false" customHeight="false" outlineLevel="0" collapsed="false">
      <c r="A15" s="23" t="n">
        <v>82</v>
      </c>
      <c r="B15" s="18" t="s">
        <v>180</v>
      </c>
      <c r="C15" s="18" t="s">
        <v>207</v>
      </c>
      <c r="D15" s="18" t="str">
        <f aca="false">"NS"</f>
        <v>NS</v>
      </c>
      <c r="E15" s="18" t="s">
        <v>224</v>
      </c>
      <c r="F15" s="18" t="s">
        <v>209</v>
      </c>
      <c r="G15" s="18" t="s">
        <v>150</v>
      </c>
    </row>
    <row r="16" s="22" customFormat="true" ht="15" hidden="false" customHeight="false" outlineLevel="0" collapsed="false">
      <c r="A16" s="23" t="n">
        <v>82</v>
      </c>
      <c r="B16" s="16" t="s">
        <v>210</v>
      </c>
      <c r="C16" s="16" t="s">
        <v>211</v>
      </c>
      <c r="D16" s="16" t="str">
        <f aca="false">Variantes!N9</f>
        <v>antihoraire (vue A)</v>
      </c>
      <c r="E16" s="16" t="s">
        <v>212</v>
      </c>
      <c r="F16" s="16" t="s">
        <v>213</v>
      </c>
      <c r="G16" s="16" t="s">
        <v>214</v>
      </c>
    </row>
    <row r="17" s="22" customFormat="true" ht="22.45" hidden="false" customHeight="false" outlineLevel="0" collapsed="false">
      <c r="A17" s="23" t="n">
        <v>82</v>
      </c>
      <c r="B17" s="18" t="s">
        <v>215</v>
      </c>
      <c r="C17" s="18" t="s">
        <v>216</v>
      </c>
      <c r="D17" s="18" t="str">
        <f aca="false">TEXT(Variantes!L9,"0.00")&amp;" kg"</f>
        <v>1,10 kg</v>
      </c>
      <c r="E17" s="18" t="s">
        <v>225</v>
      </c>
      <c r="F17" s="18" t="s">
        <v>218</v>
      </c>
      <c r="G17" s="18" t="s">
        <v>149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6" activeCellId="0" sqref="D16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8.86"/>
    <col collapsed="false" customWidth="true" hidden="false" outlineLevel="0" max="3" min="3" style="0" width="42.41"/>
    <col collapsed="false" customWidth="true" hidden="false" outlineLevel="0" max="4" min="4" style="0" width="51.77"/>
    <col collapsed="false" customWidth="true" hidden="false" outlineLevel="0" max="5" min="5" style="0" width="52"/>
    <col collapsed="false" customWidth="true" hidden="false" outlineLevel="0" max="6" min="6" style="0" width="10.64"/>
    <col collapsed="false" customWidth="true" hidden="false" outlineLevel="0" max="7" min="7" style="0" width="48"/>
    <col collapsed="false" customWidth="true" hidden="false" outlineLevel="0" max="8" min="8" style="0" width="28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24" t="s">
        <v>226</v>
      </c>
      <c r="B1" s="24" t="s">
        <v>227</v>
      </c>
      <c r="C1" s="24" t="s">
        <v>228</v>
      </c>
      <c r="D1" s="24" t="s">
        <v>229</v>
      </c>
      <c r="E1" s="24" t="s">
        <v>230</v>
      </c>
      <c r="F1" s="24" t="s">
        <v>231</v>
      </c>
      <c r="G1" s="24" t="s">
        <v>187</v>
      </c>
      <c r="H1" s="24" t="s">
        <v>188</v>
      </c>
    </row>
    <row r="2" customFormat="false" ht="24" hidden="false" customHeight="false" outlineLevel="0" collapsed="false">
      <c r="A2" s="25" t="s">
        <v>232</v>
      </c>
      <c r="B2" s="25" t="s">
        <v>233</v>
      </c>
      <c r="C2" s="25" t="s">
        <v>234</v>
      </c>
      <c r="D2" s="25" t="s">
        <v>235</v>
      </c>
      <c r="E2" s="25" t="s">
        <v>236</v>
      </c>
      <c r="F2" s="26" t="n">
        <v>1</v>
      </c>
      <c r="G2" s="25" t="s">
        <v>237</v>
      </c>
      <c r="H2" s="25" t="s">
        <v>238</v>
      </c>
    </row>
    <row r="3" customFormat="false" ht="24" hidden="false" customHeight="false" outlineLevel="0" collapsed="false">
      <c r="A3" s="25" t="s">
        <v>232</v>
      </c>
      <c r="B3" s="25" t="s">
        <v>233</v>
      </c>
      <c r="C3" s="25" t="s">
        <v>234</v>
      </c>
      <c r="D3" s="25" t="s">
        <v>235</v>
      </c>
      <c r="E3" s="25" t="s">
        <v>239</v>
      </c>
      <c r="F3" s="26" t="n">
        <v>2</v>
      </c>
      <c r="G3" s="25" t="s">
        <v>240</v>
      </c>
      <c r="H3" s="25" t="s">
        <v>238</v>
      </c>
    </row>
    <row r="4" customFormat="false" ht="24" hidden="false" customHeight="false" outlineLevel="0" collapsed="false">
      <c r="A4" s="25" t="s">
        <v>232</v>
      </c>
      <c r="B4" s="25" t="s">
        <v>233</v>
      </c>
      <c r="C4" s="25" t="s">
        <v>234</v>
      </c>
      <c r="D4" s="25" t="s">
        <v>235</v>
      </c>
      <c r="E4" s="25" t="s">
        <v>241</v>
      </c>
      <c r="F4" s="26" t="n">
        <v>3</v>
      </c>
      <c r="G4" s="25" t="s">
        <v>242</v>
      </c>
      <c r="H4" s="25" t="s">
        <v>238</v>
      </c>
    </row>
    <row r="5" customFormat="false" ht="35" hidden="false" customHeight="false" outlineLevel="0" collapsed="false">
      <c r="A5" s="27" t="s">
        <v>243</v>
      </c>
      <c r="B5" s="27" t="s">
        <v>244</v>
      </c>
      <c r="C5" s="27" t="s">
        <v>245</v>
      </c>
      <c r="D5" s="27" t="s">
        <v>246</v>
      </c>
      <c r="E5" s="27" t="s">
        <v>247</v>
      </c>
      <c r="F5" s="26" t="n">
        <v>1</v>
      </c>
      <c r="G5" s="27" t="s">
        <v>248</v>
      </c>
      <c r="H5" s="27" t="s">
        <v>238</v>
      </c>
    </row>
    <row r="6" customFormat="false" ht="35" hidden="false" customHeight="false" outlineLevel="0" collapsed="false">
      <c r="A6" s="27" t="s">
        <v>243</v>
      </c>
      <c r="B6" s="27" t="s">
        <v>244</v>
      </c>
      <c r="C6" s="27" t="s">
        <v>245</v>
      </c>
      <c r="D6" s="27" t="s">
        <v>246</v>
      </c>
      <c r="E6" s="27" t="s">
        <v>249</v>
      </c>
      <c r="F6" s="26" t="n">
        <v>2</v>
      </c>
      <c r="G6" s="27" t="s">
        <v>250</v>
      </c>
      <c r="H6" s="27" t="s">
        <v>238</v>
      </c>
    </row>
    <row r="7" customFormat="false" ht="35" hidden="false" customHeight="false" outlineLevel="0" collapsed="false">
      <c r="A7" s="27" t="s">
        <v>243</v>
      </c>
      <c r="B7" s="27" t="s">
        <v>244</v>
      </c>
      <c r="C7" s="27" t="s">
        <v>245</v>
      </c>
      <c r="D7" s="27" t="s">
        <v>246</v>
      </c>
      <c r="E7" s="27" t="s">
        <v>251</v>
      </c>
      <c r="F7" s="26" t="n">
        <v>3</v>
      </c>
      <c r="G7" s="27" t="s">
        <v>252</v>
      </c>
      <c r="H7" s="27" t="s">
        <v>238</v>
      </c>
    </row>
    <row r="8" customFormat="false" ht="24" hidden="false" customHeight="false" outlineLevel="0" collapsed="false">
      <c r="A8" s="28" t="s">
        <v>253</v>
      </c>
      <c r="B8" s="28" t="s">
        <v>254</v>
      </c>
      <c r="C8" s="28" t="s">
        <v>255</v>
      </c>
      <c r="D8" s="28" t="s">
        <v>256</v>
      </c>
      <c r="E8" s="28" t="s">
        <v>257</v>
      </c>
      <c r="F8" s="26" t="n">
        <v>1</v>
      </c>
      <c r="G8" s="28" t="s">
        <v>258</v>
      </c>
      <c r="H8" s="28" t="s">
        <v>259</v>
      </c>
    </row>
    <row r="9" customFormat="false" ht="24" hidden="false" customHeight="false" outlineLevel="0" collapsed="false">
      <c r="A9" s="28" t="s">
        <v>253</v>
      </c>
      <c r="B9" s="28" t="s">
        <v>254</v>
      </c>
      <c r="C9" s="28" t="s">
        <v>255</v>
      </c>
      <c r="D9" s="28" t="s">
        <v>256</v>
      </c>
      <c r="E9" s="28" t="s">
        <v>260</v>
      </c>
      <c r="F9" s="26" t="n">
        <v>2</v>
      </c>
      <c r="G9" s="28" t="s">
        <v>261</v>
      </c>
      <c r="H9" s="28" t="s">
        <v>259</v>
      </c>
    </row>
    <row r="10" customFormat="false" ht="35" hidden="false" customHeight="false" outlineLevel="0" collapsed="false">
      <c r="A10" s="28" t="s">
        <v>253</v>
      </c>
      <c r="B10" s="28" t="s">
        <v>254</v>
      </c>
      <c r="C10" s="28" t="s">
        <v>255</v>
      </c>
      <c r="D10" s="28" t="s">
        <v>256</v>
      </c>
      <c r="E10" s="28" t="s">
        <v>262</v>
      </c>
      <c r="F10" s="26" t="n">
        <v>3</v>
      </c>
      <c r="G10" s="28" t="s">
        <v>263</v>
      </c>
      <c r="H10" s="28" t="s">
        <v>259</v>
      </c>
    </row>
    <row r="11" customFormat="false" ht="23.7" hidden="false" customHeight="true" outlineLevel="0" collapsed="false"/>
    <row r="12" customFormat="false" ht="25.6" hidden="false" customHeight="true" outlineLevel="0" collapsed="false"/>
    <row r="13" customFormat="false" ht="15" hidden="false" customHeight="false" outlineLevel="0" collapsed="false">
      <c r="A13" s="29" t="s">
        <v>264</v>
      </c>
      <c r="B13" s="29" t="s">
        <v>265</v>
      </c>
      <c r="C13" s="29" t="s">
        <v>266</v>
      </c>
    </row>
    <row r="14" customFormat="false" ht="15" hidden="false" customHeight="false" outlineLevel="0" collapsed="false">
      <c r="A14" s="30" t="n">
        <v>1</v>
      </c>
      <c r="B14" s="30" t="s">
        <v>267</v>
      </c>
      <c r="C14" s="30" t="s">
        <v>268</v>
      </c>
    </row>
    <row r="15" customFormat="false" ht="15" hidden="false" customHeight="false" outlineLevel="0" collapsed="false">
      <c r="A15" s="30" t="n">
        <v>2</v>
      </c>
      <c r="B15" s="30" t="s">
        <v>269</v>
      </c>
      <c r="C15" s="30" t="s">
        <v>270</v>
      </c>
    </row>
    <row r="16" customFormat="false" ht="15" hidden="false" customHeight="false" outlineLevel="0" collapsed="false">
      <c r="A16" s="30" t="n">
        <v>3</v>
      </c>
      <c r="B16" s="30" t="s">
        <v>271</v>
      </c>
      <c r="C16" s="30" t="s">
        <v>272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8" activeCellId="0" sqref="A18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26"/>
    <col collapsed="false" customWidth="true" hidden="false" outlineLevel="0" max="5" min="5" style="0" width="72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31" t="s">
        <v>273</v>
      </c>
      <c r="B1" s="24" t="s">
        <v>184</v>
      </c>
      <c r="C1" s="24" t="s">
        <v>274</v>
      </c>
      <c r="D1" s="24" t="s">
        <v>275</v>
      </c>
      <c r="E1" s="24" t="s">
        <v>276</v>
      </c>
      <c r="F1" s="24" t="s">
        <v>277</v>
      </c>
      <c r="G1" s="24" t="s">
        <v>278</v>
      </c>
    </row>
    <row r="2" customFormat="false" ht="22.45" hidden="false" customHeight="false" outlineLevel="0" collapsed="false">
      <c r="A2" s="32" t="s">
        <v>279</v>
      </c>
      <c r="B2" s="25" t="s">
        <v>280</v>
      </c>
      <c r="C2" s="25" t="s">
        <v>281</v>
      </c>
      <c r="D2" s="25" t="s">
        <v>282</v>
      </c>
      <c r="E2" s="25" t="s">
        <v>283</v>
      </c>
      <c r="F2" s="25" t="s">
        <v>284</v>
      </c>
      <c r="G2" s="25" t="s">
        <v>285</v>
      </c>
    </row>
    <row r="3" customFormat="false" ht="22.45" hidden="false" customHeight="false" outlineLevel="0" collapsed="false">
      <c r="A3" s="33" t="s">
        <v>286</v>
      </c>
      <c r="B3" s="34" t="s">
        <v>280</v>
      </c>
      <c r="C3" s="34" t="s">
        <v>287</v>
      </c>
      <c r="D3" s="34" t="s">
        <v>288</v>
      </c>
      <c r="E3" s="34" t="s">
        <v>289</v>
      </c>
      <c r="F3" s="34" t="s">
        <v>284</v>
      </c>
      <c r="G3" s="34" t="s">
        <v>285</v>
      </c>
    </row>
    <row r="4" customFormat="false" ht="22.45" hidden="false" customHeight="false" outlineLevel="0" collapsed="false">
      <c r="A4" s="32" t="s">
        <v>290</v>
      </c>
      <c r="B4" s="25" t="s">
        <v>280</v>
      </c>
      <c r="C4" s="25" t="s">
        <v>291</v>
      </c>
      <c r="D4" s="25" t="s">
        <v>292</v>
      </c>
      <c r="E4" s="25" t="s">
        <v>293</v>
      </c>
      <c r="F4" s="25" t="s">
        <v>284</v>
      </c>
      <c r="G4" s="25" t="s">
        <v>285</v>
      </c>
    </row>
    <row r="5" customFormat="false" ht="22.45" hidden="false" customHeight="false" outlineLevel="0" collapsed="false">
      <c r="A5" s="33" t="s">
        <v>294</v>
      </c>
      <c r="B5" s="34" t="s">
        <v>280</v>
      </c>
      <c r="C5" s="34" t="s">
        <v>295</v>
      </c>
      <c r="D5" s="34" t="s">
        <v>296</v>
      </c>
      <c r="E5" s="34" t="s">
        <v>297</v>
      </c>
      <c r="F5" s="34" t="s">
        <v>284</v>
      </c>
      <c r="G5" s="34" t="s">
        <v>285</v>
      </c>
    </row>
    <row r="6" customFormat="false" ht="22.45" hidden="false" customHeight="false" outlineLevel="0" collapsed="false">
      <c r="A6" s="32" t="s">
        <v>298</v>
      </c>
      <c r="B6" s="25" t="s">
        <v>280</v>
      </c>
      <c r="C6" s="25" t="s">
        <v>299</v>
      </c>
      <c r="D6" s="25" t="s">
        <v>300</v>
      </c>
      <c r="E6" s="25" t="s">
        <v>301</v>
      </c>
      <c r="F6" s="25" t="s">
        <v>284</v>
      </c>
      <c r="G6" s="25" t="s">
        <v>285</v>
      </c>
    </row>
    <row r="7" customFormat="false" ht="22.45" hidden="false" customHeight="false" outlineLevel="0" collapsed="false">
      <c r="A7" s="33" t="s">
        <v>302</v>
      </c>
      <c r="B7" s="34" t="s">
        <v>280</v>
      </c>
      <c r="C7" s="34" t="s">
        <v>303</v>
      </c>
      <c r="D7" s="34" t="s">
        <v>304</v>
      </c>
      <c r="E7" s="34" t="s">
        <v>305</v>
      </c>
      <c r="F7" s="34" t="s">
        <v>284</v>
      </c>
      <c r="G7" s="34" t="s">
        <v>285</v>
      </c>
    </row>
    <row r="8" customFormat="false" ht="22.45" hidden="false" customHeight="false" outlineLevel="0" collapsed="false">
      <c r="A8" s="32" t="s">
        <v>306</v>
      </c>
      <c r="B8" s="25" t="s">
        <v>280</v>
      </c>
      <c r="C8" s="25" t="s">
        <v>307</v>
      </c>
      <c r="D8" s="25" t="s">
        <v>308</v>
      </c>
      <c r="E8" s="25" t="s">
        <v>309</v>
      </c>
      <c r="F8" s="25" t="s">
        <v>284</v>
      </c>
      <c r="G8" s="25" t="s">
        <v>285</v>
      </c>
    </row>
    <row r="9" customFormat="false" ht="22.45" hidden="false" customHeight="false" outlineLevel="0" collapsed="false">
      <c r="A9" s="33" t="s">
        <v>310</v>
      </c>
      <c r="B9" s="34" t="s">
        <v>280</v>
      </c>
      <c r="C9" s="34" t="s">
        <v>311</v>
      </c>
      <c r="D9" s="34" t="s">
        <v>312</v>
      </c>
      <c r="E9" s="34" t="s">
        <v>313</v>
      </c>
      <c r="F9" s="34" t="s">
        <v>284</v>
      </c>
      <c r="G9" s="34" t="s">
        <v>285</v>
      </c>
    </row>
    <row r="10" customFormat="false" ht="22.45" hidden="false" customHeight="false" outlineLevel="0" collapsed="false">
      <c r="A10" s="32" t="s">
        <v>314</v>
      </c>
      <c r="B10" s="25" t="s">
        <v>280</v>
      </c>
      <c r="C10" s="25" t="s">
        <v>315</v>
      </c>
      <c r="D10" s="25" t="s">
        <v>316</v>
      </c>
      <c r="E10" s="25" t="s">
        <v>317</v>
      </c>
      <c r="F10" s="25" t="s">
        <v>318</v>
      </c>
      <c r="G10" s="25" t="s">
        <v>285</v>
      </c>
    </row>
    <row r="11" customFormat="false" ht="22.45" hidden="false" customHeight="false" outlineLevel="0" collapsed="false">
      <c r="A11" s="33" t="s">
        <v>319</v>
      </c>
      <c r="B11" s="34" t="s">
        <v>280</v>
      </c>
      <c r="C11" s="34" t="s">
        <v>320</v>
      </c>
      <c r="D11" s="34" t="s">
        <v>321</v>
      </c>
      <c r="E11" s="34" t="s">
        <v>322</v>
      </c>
      <c r="F11" s="34" t="s">
        <v>318</v>
      </c>
      <c r="G11" s="34" t="s">
        <v>285</v>
      </c>
    </row>
    <row r="12" customFormat="false" ht="22.45" hidden="false" customHeight="false" outlineLevel="0" collapsed="false">
      <c r="A12" s="32" t="s">
        <v>323</v>
      </c>
      <c r="B12" s="25" t="s">
        <v>280</v>
      </c>
      <c r="C12" s="25" t="s">
        <v>324</v>
      </c>
      <c r="D12" s="25" t="s">
        <v>325</v>
      </c>
      <c r="E12" s="25" t="s">
        <v>326</v>
      </c>
      <c r="F12" s="25" t="s">
        <v>284</v>
      </c>
      <c r="G12" s="25" t="s">
        <v>285</v>
      </c>
    </row>
    <row r="13" customFormat="false" ht="22.45" hidden="false" customHeight="false" outlineLevel="0" collapsed="false">
      <c r="A13" s="33" t="s">
        <v>327</v>
      </c>
      <c r="B13" s="34" t="s">
        <v>280</v>
      </c>
      <c r="C13" s="34" t="s">
        <v>328</v>
      </c>
      <c r="D13" s="34" t="s">
        <v>329</v>
      </c>
      <c r="E13" s="34" t="s">
        <v>330</v>
      </c>
      <c r="F13" s="34" t="s">
        <v>318</v>
      </c>
      <c r="G13" s="34" t="s">
        <v>285</v>
      </c>
    </row>
    <row r="14" customFormat="false" ht="22.45" hidden="false" customHeight="false" outlineLevel="0" collapsed="false">
      <c r="A14" s="32" t="s">
        <v>331</v>
      </c>
      <c r="B14" s="25" t="s">
        <v>280</v>
      </c>
      <c r="C14" s="25" t="s">
        <v>332</v>
      </c>
      <c r="D14" s="25" t="s">
        <v>333</v>
      </c>
      <c r="E14" s="25" t="s">
        <v>334</v>
      </c>
      <c r="F14" s="25" t="s">
        <v>284</v>
      </c>
      <c r="G14" s="25" t="s">
        <v>285</v>
      </c>
    </row>
    <row r="15" customFormat="false" ht="22.45" hidden="false" customHeight="false" outlineLevel="0" collapsed="false">
      <c r="A15" s="33" t="s">
        <v>335</v>
      </c>
      <c r="B15" s="34" t="s">
        <v>336</v>
      </c>
      <c r="C15" s="34" t="s">
        <v>337</v>
      </c>
      <c r="D15" s="34" t="s">
        <v>338</v>
      </c>
      <c r="E15" s="34" t="s">
        <v>339</v>
      </c>
      <c r="F15" s="34" t="s">
        <v>318</v>
      </c>
      <c r="G15" s="34" t="s">
        <v>285</v>
      </c>
    </row>
    <row r="17" customFormat="false" ht="16.2" hidden="false" customHeight="true" outlineLevel="0" collapsed="false"/>
  </sheetData>
  <conditionalFormatting sqref="F2:F15">
    <cfRule type="expression" priority="2" aboveAverage="0" equalAverage="0" bottom="0" percent="0" rank="0" text="" dxfId="13">
      <formula>F2="Haute"</formula>
    </cfRule>
    <cfRule type="expression" priority="3" aboveAverage="0" equalAverage="0" bottom="0" percent="0" rank="0" text="" dxfId="14">
      <formula>F2="Moyenne"</formula>
    </cfRule>
    <cfRule type="expression" priority="4" aboveAverage="0" equalAverage="0" bottom="0" percent="0" rank="0" text="" dxfId="15">
      <formula>F2="Basse"</formula>
    </cfRule>
  </conditionalFormatting>
  <conditionalFormatting sqref="G2:G15">
    <cfRule type="expression" priority="5" aboveAverage="0" equalAverage="0" bottom="0" percent="0" rank="0" text="" dxfId="16">
      <formula>G2="À demander"</formula>
    </cfRule>
    <cfRule type="expression" priority="6" aboveAverage="0" equalAverage="0" bottom="0" percent="0" rank="0" text="" dxfId="17">
      <formula>G2="Réponse reçue"</formula>
    </cfRule>
    <cfRule type="expression" priority="7" aboveAverage="0" equalAverage="0" bottom="0" percent="0" rank="0" text="" dxfId="18">
      <formula>G2="Clos"</formula>
    </cfRule>
  </conditionalFormatting>
  <dataValidations count="2">
    <dataValidation allowBlank="false" errorStyle="stop" operator="between" showDropDown="false" showErrorMessage="false" showInputMessage="false" sqref="F2:F15" type="list">
      <formula1>"Haute,Moyenne,Basse"</formula1>
      <formula2>0</formula2>
    </dataValidation>
    <dataValidation allowBlank="false" errorStyle="stop" operator="between" showDropDown="false" showErrorMessage="false" showInputMessage="false" sqref="G2:G15" type="list">
      <formula1>"À demander,Demandé,Réponse reçue,Clos"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2026-10-13T10:31:02Z</dcterms:modified>
  <cp:revision>3</cp:revision>
  <dc:subject/>
  <dc:title/>
</cp:coreProperties>
</file>