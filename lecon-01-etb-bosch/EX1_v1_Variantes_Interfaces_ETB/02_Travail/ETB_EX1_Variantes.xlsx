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riant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<sst xmlns="http://schemas.openxmlformats.org/spreadsheetml/2006/main" count="355" uniqueCount="152">
  <si>
    <t xml:space="preserve">alesage_mm</t>
  </si>
  <si>
    <t xml:space="preserve">reference_commande</t>
  </si>
  <si>
    <t xml:space="preserve">connecteur</t>
  </si>
  <si>
    <t xml:space="preserve">broche_1</t>
  </si>
  <si>
    <t xml:space="preserve">broche_2</t>
  </si>
  <si>
    <t xml:space="preserve">broche_3</t>
  </si>
  <si>
    <t xml:space="preserve">broche_4</t>
  </si>
  <si>
    <t xml:space="preserve">broche_5</t>
  </si>
  <si>
    <t xml:space="preserve">broche_6</t>
  </si>
  <si>
    <t xml:space="preserve">bride_mm</t>
  </si>
  <si>
    <t xml:space="preserve">fixation_mm</t>
  </si>
  <si>
    <t xml:space="preserve">masse_kg</t>
  </si>
  <si>
    <t xml:space="preserve">debit_max_kg_h</t>
  </si>
  <si>
    <t xml:space="preserve">sens_ouverture</t>
  </si>
  <si>
    <t xml:space="preserve">angle_debit_deg</t>
  </si>
  <si>
    <t xml:space="preserve">conditions_debit</t>
  </si>
  <si>
    <t xml:space="preserve">0280.750.148</t>
  </si>
  <si>
    <t xml:space="preserve">D261.205.358-01</t>
  </si>
  <si>
    <t xml:space="preserve">Motor -</t>
  </si>
  <si>
    <t xml:space="preserve">Poti -</t>
  </si>
  <si>
    <t xml:space="preserve">Poti +</t>
  </si>
  <si>
    <t xml:space="preserve">Motor +</t>
  </si>
  <si>
    <t xml:space="preserve">Poti 2</t>
  </si>
  <si>
    <t xml:space="preserve">Poti 1</t>
  </si>
  <si>
    <t xml:space="preserve">50 x 50</t>
  </si>
  <si>
    <t xml:space="preserve">antihoraire (vue A)</t>
  </si>
  <si>
    <t xml:space="preserve">p = 1000 mbar ; Δp = 600 ±25 mbar ; HR = 40 % ; T = 24 °C</t>
  </si>
  <si>
    <t xml:space="preserve">R1 p.2/p.3 - variante 32 mm - diamètre nominal</t>
  </si>
  <si>
    <t xml:space="preserve">R1 p.2 - Ordering Information - variante 32 mm</t>
  </si>
  <si>
    <t xml:space="preserve">R1 p.3 - Variations - colonne 32 mm - Connector</t>
  </si>
  <si>
    <t xml:space="preserve">R1 p.3 - Variations - colonne 32 mm - Pin 1/A</t>
  </si>
  <si>
    <t xml:space="preserve">R1 p.3 - Variations - colonne 32 mm - Pin 2/B</t>
  </si>
  <si>
    <t xml:space="preserve">R1 p.3 - Variations - colonne 32 mm - Pin 3/C</t>
  </si>
  <si>
    <t xml:space="preserve">R1 p.3 - Variations - colonne 32 mm - Pin 4/D</t>
  </si>
  <si>
    <t xml:space="preserve">R1 p.3 - Variations - colonne 32 mm - Pin 5/E</t>
  </si>
  <si>
    <t xml:space="preserve">R1 p.3 - Variations - colonne 32 mm - Pin 6/F</t>
  </si>
  <si>
    <t xml:space="preserve">R1 p.3 - Variations - colonne 32 mm - Flange diameter</t>
  </si>
  <si>
    <t xml:space="preserve">R1 p.3 - Variations - colonne 32 mm - Hole circle diameter</t>
  </si>
  <si>
    <t xml:space="preserve">R1 p.3 - Variations - colonne 32 mm - Weight</t>
  </si>
  <si>
    <t xml:space="preserve">R1 p.3 - Variations - colonne 32 mm - Maximum mass flow</t>
  </si>
  <si>
    <t xml:space="preserve">R1 p.3 - Opening direction + vue A p.2</t>
  </si>
  <si>
    <t xml:space="preserve">R1 p.3 - note * - angle du point de débit</t>
  </si>
  <si>
    <t xml:space="preserve">R1 p.3 - note * - conditions d'essai du débit</t>
  </si>
  <si>
    <t xml:space="preserve">RENSEIGNE</t>
  </si>
  <si>
    <t xml:space="preserve">0280.750.149</t>
  </si>
  <si>
    <t xml:space="preserve">R1 p.2/p.3 - variante 40 mm - diamètre nominal</t>
  </si>
  <si>
    <t xml:space="preserve">R1 p.2 - Ordering Information - variante 40 mm</t>
  </si>
  <si>
    <t xml:space="preserve">R1 p.3 - Variations - colonne 40 mm - Connector</t>
  </si>
  <si>
    <t xml:space="preserve">R1 p.3 - Variations - colonne 40 mm - Pin 1/A</t>
  </si>
  <si>
    <t xml:space="preserve">R1 p.3 - Variations - colonne 40 mm - Pin 2/B</t>
  </si>
  <si>
    <t xml:space="preserve">R1 p.3 - Variations - colonne 40 mm - Pin 3/C</t>
  </si>
  <si>
    <t xml:space="preserve">R1 p.3 - Variations - colonne 40 mm - Pin 4/D</t>
  </si>
  <si>
    <t xml:space="preserve">R1 p.3 - Variations - colonne 40 mm - Pin 5/E</t>
  </si>
  <si>
    <t xml:space="preserve">R1 p.3 - Variations - colonne 40 mm - Pin 6/F</t>
  </si>
  <si>
    <t xml:space="preserve">R1 p.3 - Variations - colonne 40 mm - Flange diameter</t>
  </si>
  <si>
    <t xml:space="preserve">R1 p.3 - Variations - colonne 40 mm - Hole circle diameter</t>
  </si>
  <si>
    <t xml:space="preserve">R1 p.3 - Variations - colonne 40 mm - Weight</t>
  </si>
  <si>
    <t xml:space="preserve">R1 p.3 - Variations - colonne 40 mm - Maximum mass flow</t>
  </si>
  <si>
    <t xml:space="preserve">0280.750.137</t>
  </si>
  <si>
    <t xml:space="preserve">R1 p.2/p.3 - variante 44 mm - diamètre nominal</t>
  </si>
  <si>
    <t xml:space="preserve">R1 p.2 - Ordering Information - variante 44 mm</t>
  </si>
  <si>
    <t xml:space="preserve">R1 p.3 - Variations - colonne 44 mm - Connector</t>
  </si>
  <si>
    <t xml:space="preserve">R1 p.3 - Variations - colonne 44 mm - Pin 1/A</t>
  </si>
  <si>
    <t xml:space="preserve">R1 p.3 - Variations - colonne 44 mm - Pin 2/B</t>
  </si>
  <si>
    <t xml:space="preserve">R1 p.3 - Variations - colonne 44 mm - Pin 3/C</t>
  </si>
  <si>
    <t xml:space="preserve">R1 p.3 - Variations - colonne 44 mm - Pin 4/D</t>
  </si>
  <si>
    <t xml:space="preserve">R1 p.3 - Variations - colonne 44 mm - Pin 5/E</t>
  </si>
  <si>
    <t xml:space="preserve">R1 p.3 - Variations - colonne 44 mm - Pin 6/F</t>
  </si>
  <si>
    <t xml:space="preserve">R1 p.3 - Variations - colonne 44 mm - Flange diameter</t>
  </si>
  <si>
    <t xml:space="preserve">R1 p.3 - Variations - colonne 44 mm - Hole circle diameter</t>
  </si>
  <si>
    <t xml:space="preserve">R1 p.3 - Variations - colonne 44 mm - Weight</t>
  </si>
  <si>
    <t xml:space="preserve">R1 p.3 - Variations - colonne 44 mm - débit non spécifié</t>
  </si>
  <si>
    <t xml:space="preserve">R1 p.3 - colonne 44 mm - point de débit non spécifié</t>
  </si>
  <si>
    <t xml:space="preserve">NS</t>
  </si>
  <si>
    <t xml:space="preserve">F02U.V01.171-01</t>
  </si>
  <si>
    <t xml:space="preserve">D261.205.356-01</t>
  </si>
  <si>
    <t xml:space="preserve">53 x 53</t>
  </si>
  <si>
    <t xml:space="preserve">R1 p.2/p.3 - variante 46 mm - diamètre nominal</t>
  </si>
  <si>
    <t xml:space="preserve">R1 p.2 - Ordering Information - variante 46 mm</t>
  </si>
  <si>
    <t xml:space="preserve">R1 p.3 - Variations - colonne 46 mm - Connector</t>
  </si>
  <si>
    <t xml:space="preserve">R1 p.3 - Variations - colonne 46 mm - Pin 1/A</t>
  </si>
  <si>
    <t xml:space="preserve">R1 p.3 - Variations - colonne 46 mm - Pin 2/B</t>
  </si>
  <si>
    <t xml:space="preserve">R1 p.3 - Variations - colonne 46 mm - Pin 3/C</t>
  </si>
  <si>
    <t xml:space="preserve">R1 p.3 - Variations - colonne 46 mm - Pin 4/D</t>
  </si>
  <si>
    <t xml:space="preserve">R1 p.3 - Variations - colonne 46 mm - Pin 5/E</t>
  </si>
  <si>
    <t xml:space="preserve">R1 p.3 - Variations - colonne 46 mm - Pin 6/F</t>
  </si>
  <si>
    <t xml:space="preserve">R1 p.3 - Variations - colonne 46 mm - Flange diameter</t>
  </si>
  <si>
    <t xml:space="preserve">R1 p.3 - Variations - colonne 46 mm - Hole circle diameter</t>
  </si>
  <si>
    <t xml:space="preserve">R1 p.3 - Variations - colonne 46 mm - Weight</t>
  </si>
  <si>
    <t xml:space="preserve">R1 p.3 - Variations - colonne 46 mm - Maximum mass flow</t>
  </si>
  <si>
    <t xml:space="preserve">F02U.V01.184-02</t>
  </si>
  <si>
    <t xml:space="preserve">R1 p.2/p.3 - variante 52 mm - diamètre nominal</t>
  </si>
  <si>
    <t xml:space="preserve">R1 p.2 - Ordering Information - variante 52 mm</t>
  </si>
  <si>
    <t xml:space="preserve">R1 p.3 - Variations - colonne 52 mm - Connector</t>
  </si>
  <si>
    <t xml:space="preserve">R1 p.3 - Variations - colonne 52 mm - Pin 1/A</t>
  </si>
  <si>
    <t xml:space="preserve">R1 p.3 - Variations - colonne 52 mm - Pin 2/B</t>
  </si>
  <si>
    <t xml:space="preserve">R1 p.3 - Variations - colonne 52 mm - Pin 3/C</t>
  </si>
  <si>
    <t xml:space="preserve">R1 p.3 - Variations - colonne 52 mm - Pin 4/D</t>
  </si>
  <si>
    <t xml:space="preserve">R1 p.3 - Variations - colonne 52 mm - Pin 5/E</t>
  </si>
  <si>
    <t xml:space="preserve">R1 p.3 - Variations - colonne 52 mm - Pin 6/F</t>
  </si>
  <si>
    <t xml:space="preserve">R1 p.3 - Variations - colonne 52 mm - Flange diameter</t>
  </si>
  <si>
    <t xml:space="preserve">R1 p.3 - Variations - colonne 52 mm - Hole circle diameter</t>
  </si>
  <si>
    <t xml:space="preserve">R1 p.3 - Variations - colonne 52 mm - Weight</t>
  </si>
  <si>
    <t xml:space="preserve">R1 p.3 - Variations - colonne 52 mm - débit non spécifié</t>
  </si>
  <si>
    <t xml:space="preserve">R1 p.3 - colonne 52 mm - point de débit non spécifié</t>
  </si>
  <si>
    <t xml:space="preserve">0280.750.150</t>
  </si>
  <si>
    <t xml:space="preserve">60 x 60</t>
  </si>
  <si>
    <t xml:space="preserve">R1 p.2/p.3 - variante 54 mm - diamètre nominal</t>
  </si>
  <si>
    <t xml:space="preserve">R1 p.2 - Ordering Information - variante 54 mm</t>
  </si>
  <si>
    <t xml:space="preserve">R1 p.3 - Variations - colonne 54 mm - Connector</t>
  </si>
  <si>
    <t xml:space="preserve">R1 p.3 - Variations - colonne 54 mm - Pin 1/A</t>
  </si>
  <si>
    <t xml:space="preserve">R1 p.3 - Variations - colonne 54 mm - Pin 2/B</t>
  </si>
  <si>
    <t xml:space="preserve">R1 p.3 - Variations - colonne 54 mm - Pin 3/C</t>
  </si>
  <si>
    <t xml:space="preserve">R1 p.3 - Variations - colonne 54 mm - Pin 4/D</t>
  </si>
  <si>
    <t xml:space="preserve">R1 p.3 - Variations - colonne 54 mm - Pin 5/E</t>
  </si>
  <si>
    <t xml:space="preserve">R1 p.3 - Variations - colonne 54 mm - Pin 6/F</t>
  </si>
  <si>
    <t xml:space="preserve">R1 p.3 - Variations - colonne 54 mm - Flange diameter</t>
  </si>
  <si>
    <t xml:space="preserve">R1 p.3 - Variations - colonne 54 mm - Hole circle diameter</t>
  </si>
  <si>
    <t xml:space="preserve">R1 p.3 - Variations - colonne 54 mm - Weight</t>
  </si>
  <si>
    <t xml:space="preserve">R1 p.3 - Variations - colonne 54 mm - débit non spécifié</t>
  </si>
  <si>
    <t xml:space="preserve">R1 p.3 - colonne 54 mm - point de débit non spécifié</t>
  </si>
  <si>
    <t xml:space="preserve">0280.750.151</t>
  </si>
  <si>
    <t xml:space="preserve">R1 p.2/p.3 - variante 60 mm - diamètre nominal</t>
  </si>
  <si>
    <t xml:space="preserve">R1 p.2 - Ordering Information - variante 60 mm</t>
  </si>
  <si>
    <t xml:space="preserve">R1 p.3 - Variations - colonne 60 mm - Connector</t>
  </si>
  <si>
    <t xml:space="preserve">R1 p.3 - Variations - colonne 60 mm - Pin 1/A</t>
  </si>
  <si>
    <t xml:space="preserve">R1 p.3 - Variations - colonne 60 mm - Pin 2/B</t>
  </si>
  <si>
    <t xml:space="preserve">R1 p.3 - Variations - colonne 60 mm - Pin 3/C</t>
  </si>
  <si>
    <t xml:space="preserve">R1 p.3 - Variations - colonne 60 mm - Pin 4/D</t>
  </si>
  <si>
    <t xml:space="preserve">R1 p.3 - Variations - colonne 60 mm - Pin 5/E</t>
  </si>
  <si>
    <t xml:space="preserve">R1 p.3 - Variations - colonne 60 mm - Pin 6/F</t>
  </si>
  <si>
    <t xml:space="preserve">R1 p.3 - Variations - colonne 60 mm - Flange diameter</t>
  </si>
  <si>
    <t xml:space="preserve">R1 p.3 - Variations - colonne 60 mm - Hole circle diameter</t>
  </si>
  <si>
    <t xml:space="preserve">R1 p.3 - Variations - colonne 60 mm - Weight</t>
  </si>
  <si>
    <t xml:space="preserve">R1 p.3 - Variations - colonne 60 mm - débit non spécifié</t>
  </si>
  <si>
    <t xml:space="preserve">R1 p.3 - colonne 60 mm - point de débit non spécifié</t>
  </si>
  <si>
    <t xml:space="preserve">0280.750.101</t>
  </si>
  <si>
    <t xml:space="preserve">75 x 75</t>
  </si>
  <si>
    <t xml:space="preserve">R1 p.2/p.3 - variante 82 mm - diamètre nominal</t>
  </si>
  <si>
    <t xml:space="preserve">R1 p.2 - Ordering Information - variante 82 mm</t>
  </si>
  <si>
    <t xml:space="preserve">R1 p.3 - Variations - colonne 82 mm - Connector</t>
  </si>
  <si>
    <t xml:space="preserve">R1 p.3 - Variations - colonne 82 mm - Pin 1/A</t>
  </si>
  <si>
    <t xml:space="preserve">R1 p.3 - Variations - colonne 82 mm - Pin 2/B</t>
  </si>
  <si>
    <t xml:space="preserve">R1 p.3 - Variations - colonne 82 mm - Pin 3/C</t>
  </si>
  <si>
    <t xml:space="preserve">R1 p.3 - Variations - colonne 82 mm - Pin 4/D</t>
  </si>
  <si>
    <t xml:space="preserve">R1 p.3 - Variations - colonne 82 mm - Pin 5/E</t>
  </si>
  <si>
    <t xml:space="preserve">R1 p.3 - Variations - colonne 82 mm - Pin 6/F</t>
  </si>
  <si>
    <t xml:space="preserve">R1 p.3 - Variations - colonne 82 mm - Flange diameter</t>
  </si>
  <si>
    <t xml:space="preserve">R1 p.3 - Variations - colonne 82 mm - Hole circle diameter</t>
  </si>
  <si>
    <t xml:space="preserve">R1 p.3 - Variations - colonne 82 mm - Weight</t>
  </si>
  <si>
    <t xml:space="preserve">R1 p.3 - Variations - colonne 82 mm - débit non spécifié</t>
  </si>
  <si>
    <t xml:space="preserve">R1 p.3 - colonne 82 mm - point de débit non spécifié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</si>
</sst>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"/>
    <numFmt numFmtId="167" formatCode="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385D8A"/>
        <bgColor rgb="FF156082"/>
      </patternFill>
    </fill>
    <fill>
      <patternFill patternType="solid">
        <fgColor rgb="FF5B6573"/>
        <bgColor rgb="FF385D8A"/>
      </patternFill>
    </fill>
    <fill>
      <patternFill patternType="solid">
        <fgColor rgb="FFF3F6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5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5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5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18">
    <dxf>
      <fill>
        <patternFill patternType="solid">
          <fgColor rgb="FF17365D"/>
          <bgColor rgb="FF000000"/>
        </patternFill>
      </fill>
    </dxf>
    <dxf>
      <fill>
        <patternFill patternType="solid">
          <fgColor rgb="FFF3F6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85D8A"/>
          <bgColor rgb="FF000000"/>
        </patternFill>
      </fill>
    </dxf>
    <dxf>
      <fill>
        <patternFill patternType="solid">
          <fgColor rgb="FF5B6573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b val="1"/>
      </font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11" type="wholeTable"/>
      <tableStyleElement dxfId="12" type="firstColumnStripe"/>
      <tableStyleElement dxfId="13" type="firstRowStripe"/>
      <tableStyleElement dxfId="14" type="lastColumn"/>
      <tableStyleElement dxfId="15" type="firstColumn"/>
      <tableStyleElement dxfId="16" type="headerRow"/>
      <tableStyleElement dxfId="17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FFF2CC"/>
      <rgbColor rgb="FFF3F6F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46B1E1"/>
      <rgbColor rgb="FF99CC00"/>
      <rgbColor rgb="FFFFCC00"/>
      <rgbColor rgb="FFFF9900"/>
      <rgbColor rgb="FFFF6600"/>
      <rgbColor rgb="FF5B6573"/>
      <rgbColor rgb="FF969696"/>
      <rgbColor rgb="FF17365D"/>
      <rgbColor rgb="FF339966"/>
      <rgbColor rgb="FF003300"/>
      <rgbColor rgb="FF333300"/>
      <rgbColor rgb="FF993300"/>
      <rgbColor rgb="FF993366"/>
      <rgbColor rgb="FF385D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VariantesETB" displayName="VariantesETB" ref="A1:AV9" headerRowCount="1" totalsRowCount="0" totalsRowShown="0">
  <tableColumns count="48">
    <tableColumn id="1" name="alesage_mm"/>
    <tableColumn id="2" name="reference_commande"/>
    <tableColumn id="3" name="connecteur"/>
    <tableColumn id="4" name="broche_1"/>
    <tableColumn id="5" name="broche_2"/>
    <tableColumn id="6" name="broche_3"/>
    <tableColumn id="7" name="broche_4"/>
    <tableColumn id="8" name="broche_5"/>
    <tableColumn id="9" name="broche_6"/>
    <tableColumn id="10" name="bride_mm"/>
    <tableColumn id="11" name="fixation_mm"/>
    <tableColumn id="12" name="masse_kg"/>
    <tableColumn id="13" name="debit_max_kg_h"/>
    <tableColumn id="14" name="sens_ouverture"/>
    <tableColumn id="15" name="angle_debit_deg"/>
    <tableColumn id="16" name="conditions_debit"/>
    <tableColumn id="17" name="alesage_mm_source"/>
    <tableColumn id="18" name="reference_commande_source"/>
    <tableColumn id="19" name="connecteur_source"/>
    <tableColumn id="20" name="broche_1_source"/>
    <tableColumn id="21" name="broche_2_source"/>
    <tableColumn id="22" name="broche_3_source"/>
    <tableColumn id="23" name="broche_4_source"/>
    <tableColumn id="24" name="broche_5_source"/>
    <tableColumn id="25" name="broche_6_source"/>
    <tableColumn id="26" name="bride_mm_source"/>
    <tableColumn id="27" name="fixation_mm_source"/>
    <tableColumn id="28" name="masse_kg_source"/>
    <tableColumn id="29" name="debit_max_kg_h_source"/>
    <tableColumn id="30" name="sens_ouverture_source"/>
    <tableColumn id="31" name="angle_debit_deg_source"/>
    <tableColumn id="32" name="conditions_debit_source"/>
    <tableColumn id="33" name="alesage_mm_statut"/>
    <tableColumn id="34" name="reference_commande_statut"/>
    <tableColumn id="35" name="connecteur_statut"/>
    <tableColumn id="36" name="broche_1_statut"/>
    <tableColumn id="37" name="broche_2_statut"/>
    <tableColumn id="38" name="broche_3_statut"/>
    <tableColumn id="39" name="broche_4_statut"/>
    <tableColumn id="40" name="broche_5_statut"/>
    <tableColumn id="41" name="broche_6_statut"/>
    <tableColumn id="42" name="bride_mm_statut"/>
    <tableColumn id="43" name="fixation_mm_statut"/>
    <tableColumn id="44" name="masse_kg_statut"/>
    <tableColumn id="45" name="debit_max_kg_h_statut"/>
    <tableColumn id="46" name="sens_ouverture_statut"/>
    <tableColumn id="47" name="angle_debit_deg_statut"/>
    <tableColumn id="48" name="conditions_debit_statu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7" activeCellId="0" sqref="A7"/>
    </sheetView>
  </sheetViews>
  <sheetFormatPr defaultColWidth="23.54296875" defaultRowHeight="12" customHeight="false" zeroHeight="false" outlineLevelRow="0" outlineLevelCol="0"/>
  <cols>
    <col collapsed="false" customWidth="false" hidden="false" outlineLevel="0" max="15" min="1" style="1" width="23.54"/>
    <col collapsed="false" customWidth="true" hidden="false" outlineLevel="0" max="16" min="16" style="1" width="26.73"/>
    <col collapsed="false" customWidth="false" hidden="false" outlineLevel="0" max="16384" min="17" style="1" width="23.54"/>
  </cols>
  <sheetData>
    <row r="1" customFormat="false" ht="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tr">
        <f aca="false">A1&amp;"_source"</f>
        <v>alesage_mm_source</v>
      </c>
      <c r="R1" s="3" t="str">
        <f aca="false">B1&amp;"_source"</f>
        <v>reference_commande_source</v>
      </c>
      <c r="S1" s="3" t="str">
        <f aca="false">C1&amp;"_source"</f>
        <v>connecteur_source</v>
      </c>
      <c r="T1" s="3" t="str">
        <f aca="false">D1&amp;"_source"</f>
        <v>broche_1_source</v>
      </c>
      <c r="U1" s="3" t="str">
        <f aca="false">E1&amp;"_source"</f>
        <v>broche_2_source</v>
      </c>
      <c r="V1" s="3" t="str">
        <f aca="false">F1&amp;"_source"</f>
        <v>broche_3_source</v>
      </c>
      <c r="W1" s="3" t="str">
        <f aca="false">G1&amp;"_source"</f>
        <v>broche_4_source</v>
      </c>
      <c r="X1" s="3" t="str">
        <f aca="false">H1&amp;"_source"</f>
        <v>broche_5_source</v>
      </c>
      <c r="Y1" s="3" t="str">
        <f aca="false">I1&amp;"_source"</f>
        <v>broche_6_source</v>
      </c>
      <c r="Z1" s="3" t="str">
        <f aca="false">J1&amp;"_source"</f>
        <v>bride_mm_source</v>
      </c>
      <c r="AA1" s="3" t="str">
        <f aca="false">K1&amp;"_source"</f>
        <v>fixation_mm_source</v>
      </c>
      <c r="AB1" s="3" t="str">
        <f aca="false">L1&amp;"_source"</f>
        <v>masse_kg_source</v>
      </c>
      <c r="AC1" s="3" t="str">
        <f aca="false">M1&amp;"_source"</f>
        <v>debit_max_kg_h_source</v>
      </c>
      <c r="AD1" s="3" t="str">
        <f aca="false">N1&amp;"_source"</f>
        <v>sens_ouverture_source</v>
      </c>
      <c r="AE1" s="3" t="str">
        <f aca="false">O1&amp;"_source"</f>
        <v>angle_debit_deg_source</v>
      </c>
      <c r="AF1" s="3" t="str">
        <f aca="false">P1&amp;"_source"</f>
        <v>conditions_debit_source</v>
      </c>
      <c r="AG1" s="4" t="str">
        <f aca="false">A1&amp;"_statut"</f>
        <v>alesage_mm_statut</v>
      </c>
      <c r="AH1" s="4" t="str">
        <f aca="false">B1&amp;"_statut"</f>
        <v>reference_commande_statut</v>
      </c>
      <c r="AI1" s="4" t="str">
        <f aca="false">C1&amp;"_statut"</f>
        <v>connecteur_statut</v>
      </c>
      <c r="AJ1" s="4" t="str">
        <f aca="false">D1&amp;"_statut"</f>
        <v>broche_1_statut</v>
      </c>
      <c r="AK1" s="4" t="str">
        <f aca="false">E1&amp;"_statut"</f>
        <v>broche_2_statut</v>
      </c>
      <c r="AL1" s="4" t="str">
        <f aca="false">F1&amp;"_statut"</f>
        <v>broche_3_statut</v>
      </c>
      <c r="AM1" s="4" t="str">
        <f aca="false">G1&amp;"_statut"</f>
        <v>broche_4_statut</v>
      </c>
      <c r="AN1" s="4" t="str">
        <f aca="false">H1&amp;"_statut"</f>
        <v>broche_5_statut</v>
      </c>
      <c r="AO1" s="4" t="str">
        <f aca="false">I1&amp;"_statut"</f>
        <v>broche_6_statut</v>
      </c>
      <c r="AP1" s="4" t="str">
        <f aca="false">J1&amp;"_statut"</f>
        <v>bride_mm_statut</v>
      </c>
      <c r="AQ1" s="4" t="str">
        <f aca="false">K1&amp;"_statut"</f>
        <v>fixation_mm_statut</v>
      </c>
      <c r="AR1" s="4" t="str">
        <f aca="false">L1&amp;"_statut"</f>
        <v>masse_kg_statut</v>
      </c>
      <c r="AS1" s="4" t="str">
        <f aca="false">M1&amp;"_statut"</f>
        <v>debit_max_kg_h_statut</v>
      </c>
      <c r="AT1" s="4" t="str">
        <f aca="false">N1&amp;"_statut"</f>
        <v>sens_ouverture_statut</v>
      </c>
      <c r="AU1" s="4" t="str">
        <f aca="false">O1&amp;"_statut"</f>
        <v>angle_debit_deg_statut</v>
      </c>
      <c r="AV1" s="4" t="str">
        <f aca="false">P1&amp;"_statut"</f>
        <v>conditions_debit_statut</v>
      </c>
    </row>
    <row r="2" customFormat="false" ht="36.5" hidden="false" customHeight="false" outlineLevel="0" collapsed="false">
      <c r="A2" s="5" t="n">
        <v>32</v>
      </c>
      <c r="B2" s="6" t="s">
        <v>16</v>
      </c>
      <c r="C2" s="6" t="s">
        <v>17</v>
      </c>
      <c r="D2" s="6" t="s">
        <v>18</v>
      </c>
      <c r="E2" s="6" t="s">
        <v>19</v>
      </c>
      <c r="F2" s="6" t="s">
        <v>20</v>
      </c>
      <c r="G2" s="6" t="s">
        <v>21</v>
      </c>
      <c r="H2" s="6" t="s">
        <v>22</v>
      </c>
      <c r="I2" s="6" t="s">
        <v>23</v>
      </c>
      <c r="J2" s="7" t="n">
        <v>40</v>
      </c>
      <c r="K2" s="6" t="s">
        <v>24</v>
      </c>
      <c r="L2" s="8" t="n">
        <v>0.9</v>
      </c>
      <c r="M2" s="5" t="n">
        <v>394</v>
      </c>
      <c r="N2" s="6" t="s">
        <v>25</v>
      </c>
      <c r="O2" s="5" t="n">
        <v>85</v>
      </c>
      <c r="P2" s="6" t="s">
        <v>26</v>
      </c>
      <c r="Q2" s="6" t="s">
        <v>27</v>
      </c>
      <c r="R2" s="6" t="s">
        <v>28</v>
      </c>
      <c r="S2" s="6" t="s">
        <v>29</v>
      </c>
      <c r="T2" s="6" t="s">
        <v>30</v>
      </c>
      <c r="U2" s="6" t="s">
        <v>31</v>
      </c>
      <c r="V2" s="6" t="s">
        <v>32</v>
      </c>
      <c r="W2" s="6" t="s">
        <v>33</v>
      </c>
      <c r="X2" s="6" t="s">
        <v>34</v>
      </c>
      <c r="Y2" s="6" t="s">
        <v>35</v>
      </c>
      <c r="Z2" s="6" t="s">
        <v>36</v>
      </c>
      <c r="AA2" s="6" t="s">
        <v>37</v>
      </c>
      <c r="AB2" s="6" t="s">
        <v>38</v>
      </c>
      <c r="AC2" s="6" t="s">
        <v>39</v>
      </c>
      <c r="AD2" s="6" t="s">
        <v>40</v>
      </c>
      <c r="AE2" s="6" t="s">
        <v>41</v>
      </c>
      <c r="AF2" s="6" t="s">
        <v>42</v>
      </c>
      <c r="AG2" s="6" t="s">
        <v>43</v>
      </c>
      <c r="AH2" s="6" t="s">
        <v>43</v>
      </c>
      <c r="AI2" s="6" t="s">
        <v>43</v>
      </c>
      <c r="AJ2" s="6" t="s">
        <v>43</v>
      </c>
      <c r="AK2" s="6" t="s">
        <v>43</v>
      </c>
      <c r="AL2" s="6" t="s">
        <v>43</v>
      </c>
      <c r="AM2" s="6" t="s">
        <v>43</v>
      </c>
      <c r="AN2" s="6" t="s">
        <v>43</v>
      </c>
      <c r="AO2" s="6" t="s">
        <v>43</v>
      </c>
      <c r="AP2" s="6" t="s">
        <v>43</v>
      </c>
      <c r="AQ2" s="6" t="s">
        <v>43</v>
      </c>
      <c r="AR2" s="6" t="s">
        <v>43</v>
      </c>
      <c r="AS2" s="6" t="s">
        <v>43</v>
      </c>
      <c r="AT2" s="6" t="s">
        <v>43</v>
      </c>
      <c r="AU2" s="6" t="s">
        <v>43</v>
      </c>
      <c r="AV2" s="6" t="s">
        <v>43</v>
      </c>
    </row>
    <row r="3" customFormat="false" ht="36.5" hidden="false" customHeight="false" outlineLevel="0" collapsed="false">
      <c r="A3" s="9" t="n">
        <v>40</v>
      </c>
      <c r="B3" s="10" t="s">
        <v>44</v>
      </c>
      <c r="C3" s="10" t="s">
        <v>17</v>
      </c>
      <c r="D3" s="10" t="s">
        <v>18</v>
      </c>
      <c r="E3" s="10" t="s">
        <v>19</v>
      </c>
      <c r="F3" s="10" t="s">
        <v>20</v>
      </c>
      <c r="G3" s="10" t="s">
        <v>21</v>
      </c>
      <c r="H3" s="10" t="s">
        <v>22</v>
      </c>
      <c r="I3" s="10" t="s">
        <v>23</v>
      </c>
      <c r="J3" s="11" t="n">
        <v>50</v>
      </c>
      <c r="K3" s="10" t="s">
        <v>24</v>
      </c>
      <c r="L3" s="12" t="n">
        <v>0.9</v>
      </c>
      <c r="M3" s="9" t="n">
        <v>695</v>
      </c>
      <c r="N3" s="10" t="s">
        <v>25</v>
      </c>
      <c r="O3" s="9" t="n">
        <v>85</v>
      </c>
      <c r="P3" s="10" t="s">
        <v>26</v>
      </c>
      <c r="Q3" s="10" t="s">
        <v>45</v>
      </c>
      <c r="R3" s="10" t="s">
        <v>46</v>
      </c>
      <c r="S3" s="10" t="s">
        <v>47</v>
      </c>
      <c r="T3" s="10" t="s">
        <v>48</v>
      </c>
      <c r="U3" s="10" t="s">
        <v>49</v>
      </c>
      <c r="V3" s="10" t="s">
        <v>50</v>
      </c>
      <c r="W3" s="10" t="s">
        <v>51</v>
      </c>
      <c r="X3" s="10" t="s">
        <v>52</v>
      </c>
      <c r="Y3" s="10" t="s">
        <v>53</v>
      </c>
      <c r="Z3" s="10" t="s">
        <v>54</v>
      </c>
      <c r="AA3" s="10" t="s">
        <v>55</v>
      </c>
      <c r="AB3" s="10" t="s">
        <v>56</v>
      </c>
      <c r="AC3" s="10" t="s">
        <v>57</v>
      </c>
      <c r="AD3" s="10" t="s">
        <v>40</v>
      </c>
      <c r="AE3" s="10" t="s">
        <v>41</v>
      </c>
      <c r="AF3" s="10" t="s">
        <v>42</v>
      </c>
      <c r="AG3" s="10" t="s">
        <v>43</v>
      </c>
      <c r="AH3" s="10" t="s">
        <v>43</v>
      </c>
      <c r="AI3" s="10" t="s">
        <v>43</v>
      </c>
      <c r="AJ3" s="10" t="s">
        <v>43</v>
      </c>
      <c r="AK3" s="10" t="s">
        <v>43</v>
      </c>
      <c r="AL3" s="10" t="s">
        <v>43</v>
      </c>
      <c r="AM3" s="10" t="s">
        <v>43</v>
      </c>
      <c r="AN3" s="10" t="s">
        <v>43</v>
      </c>
      <c r="AO3" s="10" t="s">
        <v>43</v>
      </c>
      <c r="AP3" s="10" t="s">
        <v>43</v>
      </c>
      <c r="AQ3" s="10" t="s">
        <v>43</v>
      </c>
      <c r="AR3" s="10" t="s">
        <v>43</v>
      </c>
      <c r="AS3" s="10" t="s">
        <v>43</v>
      </c>
      <c r="AT3" s="10" t="s">
        <v>43</v>
      </c>
      <c r="AU3" s="10" t="s">
        <v>43</v>
      </c>
      <c r="AV3" s="10" t="s">
        <v>43</v>
      </c>
    </row>
    <row r="4" customFormat="false" ht="36.5" hidden="false" customHeight="false" outlineLevel="0" collapsed="false">
      <c r="A4" s="5" t="n">
        <v>44</v>
      </c>
      <c r="B4" s="6" t="s">
        <v>58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7" t="n">
        <v>50</v>
      </c>
      <c r="K4" s="6" t="s">
        <v>24</v>
      </c>
      <c r="L4" s="8" t="n">
        <v>0.9</v>
      </c>
      <c r="M4" s="5"/>
      <c r="N4" s="6" t="s">
        <v>25</v>
      </c>
      <c r="O4" s="5"/>
      <c r="P4" s="6"/>
      <c r="Q4" s="6" t="s">
        <v>59</v>
      </c>
      <c r="R4" s="6" t="s">
        <v>60</v>
      </c>
      <c r="S4" s="6" t="s">
        <v>61</v>
      </c>
      <c r="T4" s="6" t="s">
        <v>62</v>
      </c>
      <c r="U4" s="6" t="s">
        <v>63</v>
      </c>
      <c r="V4" s="6" t="s">
        <v>64</v>
      </c>
      <c r="W4" s="6" t="s">
        <v>65</v>
      </c>
      <c r="X4" s="6" t="s">
        <v>66</v>
      </c>
      <c r="Y4" s="6" t="s">
        <v>67</v>
      </c>
      <c r="Z4" s="6" t="s">
        <v>68</v>
      </c>
      <c r="AA4" s="6" t="s">
        <v>69</v>
      </c>
      <c r="AB4" s="6" t="s">
        <v>70</v>
      </c>
      <c r="AC4" s="6" t="s">
        <v>71</v>
      </c>
      <c r="AD4" s="6" t="s">
        <v>40</v>
      </c>
      <c r="AE4" s="6" t="s">
        <v>72</v>
      </c>
      <c r="AF4" s="6" t="s">
        <v>72</v>
      </c>
      <c r="AG4" s="6" t="s">
        <v>43</v>
      </c>
      <c r="AH4" s="6" t="s">
        <v>43</v>
      </c>
      <c r="AI4" s="6" t="s">
        <v>43</v>
      </c>
      <c r="AJ4" s="6" t="s">
        <v>43</v>
      </c>
      <c r="AK4" s="6" t="s">
        <v>43</v>
      </c>
      <c r="AL4" s="6" t="s">
        <v>43</v>
      </c>
      <c r="AM4" s="6" t="s">
        <v>43</v>
      </c>
      <c r="AN4" s="6" t="s">
        <v>43</v>
      </c>
      <c r="AO4" s="6" t="s">
        <v>43</v>
      </c>
      <c r="AP4" s="6" t="s">
        <v>43</v>
      </c>
      <c r="AQ4" s="6" t="s">
        <v>43</v>
      </c>
      <c r="AR4" s="6" t="s">
        <v>43</v>
      </c>
      <c r="AS4" s="6" t="s">
        <v>73</v>
      </c>
      <c r="AT4" s="6" t="s">
        <v>43</v>
      </c>
      <c r="AU4" s="6" t="s">
        <v>73</v>
      </c>
      <c r="AV4" s="6" t="s">
        <v>73</v>
      </c>
    </row>
    <row r="5" customFormat="false" ht="36.5" hidden="false" customHeight="false" outlineLevel="0" collapsed="false">
      <c r="A5" s="9" t="n">
        <v>46</v>
      </c>
      <c r="B5" s="10" t="s">
        <v>74</v>
      </c>
      <c r="C5" s="10" t="s">
        <v>75</v>
      </c>
      <c r="D5" s="10" t="s">
        <v>18</v>
      </c>
      <c r="E5" s="10" t="s">
        <v>19</v>
      </c>
      <c r="F5" s="10" t="s">
        <v>20</v>
      </c>
      <c r="G5" s="10" t="s">
        <v>21</v>
      </c>
      <c r="H5" s="10" t="s">
        <v>22</v>
      </c>
      <c r="I5" s="10" t="s">
        <v>23</v>
      </c>
      <c r="J5" s="11" t="n">
        <v>58</v>
      </c>
      <c r="K5" s="10" t="s">
        <v>76</v>
      </c>
      <c r="L5" s="12" t="n">
        <v>0.95</v>
      </c>
      <c r="M5" s="9" t="n">
        <v>978</v>
      </c>
      <c r="N5" s="10" t="s">
        <v>25</v>
      </c>
      <c r="O5" s="9" t="n">
        <v>85</v>
      </c>
      <c r="P5" s="10" t="s">
        <v>26</v>
      </c>
      <c r="Q5" s="10" t="s">
        <v>77</v>
      </c>
      <c r="R5" s="10" t="s">
        <v>78</v>
      </c>
      <c r="S5" s="10" t="s">
        <v>79</v>
      </c>
      <c r="T5" s="10" t="s">
        <v>80</v>
      </c>
      <c r="U5" s="10" t="s">
        <v>81</v>
      </c>
      <c r="V5" s="10" t="s">
        <v>82</v>
      </c>
      <c r="W5" s="10" t="s">
        <v>83</v>
      </c>
      <c r="X5" s="10" t="s">
        <v>84</v>
      </c>
      <c r="Y5" s="10" t="s">
        <v>85</v>
      </c>
      <c r="Z5" s="10" t="s">
        <v>86</v>
      </c>
      <c r="AA5" s="10" t="s">
        <v>87</v>
      </c>
      <c r="AB5" s="10" t="s">
        <v>88</v>
      </c>
      <c r="AC5" s="10" t="s">
        <v>89</v>
      </c>
      <c r="AD5" s="10" t="s">
        <v>40</v>
      </c>
      <c r="AE5" s="10" t="s">
        <v>41</v>
      </c>
      <c r="AF5" s="10" t="s">
        <v>42</v>
      </c>
      <c r="AG5" s="10" t="s">
        <v>43</v>
      </c>
      <c r="AH5" s="10" t="s">
        <v>43</v>
      </c>
      <c r="AI5" s="10" t="s">
        <v>43</v>
      </c>
      <c r="AJ5" s="10" t="s">
        <v>43</v>
      </c>
      <c r="AK5" s="10" t="s">
        <v>43</v>
      </c>
      <c r="AL5" s="10" t="s">
        <v>43</v>
      </c>
      <c r="AM5" s="10" t="s">
        <v>43</v>
      </c>
      <c r="AN5" s="10" t="s">
        <v>43</v>
      </c>
      <c r="AO5" s="10" t="s">
        <v>43</v>
      </c>
      <c r="AP5" s="10" t="s">
        <v>43</v>
      </c>
      <c r="AQ5" s="10" t="s">
        <v>43</v>
      </c>
      <c r="AR5" s="10" t="s">
        <v>43</v>
      </c>
      <c r="AS5" s="10" t="s">
        <v>43</v>
      </c>
      <c r="AT5" s="10" t="s">
        <v>43</v>
      </c>
      <c r="AU5" s="10" t="s">
        <v>43</v>
      </c>
      <c r="AV5" s="10" t="s">
        <v>43</v>
      </c>
    </row>
    <row r="6" customFormat="false" ht="36.5" hidden="false" customHeight="false" outlineLevel="0" collapsed="false">
      <c r="A6" s="5" t="n">
        <v>52</v>
      </c>
      <c r="B6" s="6" t="s">
        <v>90</v>
      </c>
      <c r="C6" s="6" t="s">
        <v>75</v>
      </c>
      <c r="D6" s="6" t="s">
        <v>23</v>
      </c>
      <c r="E6" s="6" t="s">
        <v>19</v>
      </c>
      <c r="F6" s="6" t="s">
        <v>18</v>
      </c>
      <c r="G6" s="6" t="s">
        <v>22</v>
      </c>
      <c r="H6" s="6" t="s">
        <v>21</v>
      </c>
      <c r="I6" s="6" t="s">
        <v>20</v>
      </c>
      <c r="J6" s="7" t="n">
        <v>58</v>
      </c>
      <c r="K6" s="6" t="s">
        <v>76</v>
      </c>
      <c r="L6" s="8" t="n">
        <v>0.95</v>
      </c>
      <c r="M6" s="5"/>
      <c r="N6" s="6" t="s">
        <v>25</v>
      </c>
      <c r="O6" s="5"/>
      <c r="P6" s="6"/>
      <c r="Q6" s="6" t="s">
        <v>91</v>
      </c>
      <c r="R6" s="6" t="s">
        <v>92</v>
      </c>
      <c r="S6" s="6" t="s">
        <v>93</v>
      </c>
      <c r="T6" s="6" t="s">
        <v>94</v>
      </c>
      <c r="U6" s="6" t="s">
        <v>95</v>
      </c>
      <c r="V6" s="6" t="s">
        <v>96</v>
      </c>
      <c r="W6" s="6" t="s">
        <v>97</v>
      </c>
      <c r="X6" s="6" t="s">
        <v>98</v>
      </c>
      <c r="Y6" s="6" t="s">
        <v>99</v>
      </c>
      <c r="Z6" s="6" t="s">
        <v>100</v>
      </c>
      <c r="AA6" s="6" t="s">
        <v>101</v>
      </c>
      <c r="AB6" s="6" t="s">
        <v>102</v>
      </c>
      <c r="AC6" s="6" t="s">
        <v>103</v>
      </c>
      <c r="AD6" s="6" t="s">
        <v>40</v>
      </c>
      <c r="AE6" s="6" t="s">
        <v>104</v>
      </c>
      <c r="AF6" s="6" t="s">
        <v>104</v>
      </c>
      <c r="AG6" s="6" t="s">
        <v>43</v>
      </c>
      <c r="AH6" s="6" t="s">
        <v>43</v>
      </c>
      <c r="AI6" s="6" t="s">
        <v>43</v>
      </c>
      <c r="AJ6" s="6" t="s">
        <v>43</v>
      </c>
      <c r="AK6" s="6" t="s">
        <v>43</v>
      </c>
      <c r="AL6" s="6" t="s">
        <v>43</v>
      </c>
      <c r="AM6" s="6" t="s">
        <v>43</v>
      </c>
      <c r="AN6" s="6" t="s">
        <v>43</v>
      </c>
      <c r="AO6" s="6" t="s">
        <v>43</v>
      </c>
      <c r="AP6" s="6" t="s">
        <v>43</v>
      </c>
      <c r="AQ6" s="6" t="s">
        <v>43</v>
      </c>
      <c r="AR6" s="6" t="s">
        <v>43</v>
      </c>
      <c r="AS6" s="6" t="s">
        <v>73</v>
      </c>
      <c r="AT6" s="6" t="s">
        <v>43</v>
      </c>
      <c r="AU6" s="6" t="s">
        <v>73</v>
      </c>
      <c r="AV6" s="6" t="s">
        <v>73</v>
      </c>
    </row>
    <row r="7" customFormat="false" ht="36.5" hidden="false" customHeight="false" outlineLevel="0" collapsed="false">
      <c r="A7" s="9" t="n">
        <v>54</v>
      </c>
      <c r="B7" s="10" t="s">
        <v>105</v>
      </c>
      <c r="C7" s="10" t="s">
        <v>17</v>
      </c>
      <c r="D7" s="10" t="s">
        <v>18</v>
      </c>
      <c r="E7" s="10" t="s">
        <v>19</v>
      </c>
      <c r="F7" s="10" t="s">
        <v>20</v>
      </c>
      <c r="G7" s="10" t="s">
        <v>21</v>
      </c>
      <c r="H7" s="10" t="s">
        <v>22</v>
      </c>
      <c r="I7" s="10" t="s">
        <v>23</v>
      </c>
      <c r="J7" s="11" t="n">
        <v>70</v>
      </c>
      <c r="K7" s="10" t="s">
        <v>106</v>
      </c>
      <c r="L7" s="12" t="n">
        <v>0.95</v>
      </c>
      <c r="M7" s="9"/>
      <c r="N7" s="10" t="s">
        <v>25</v>
      </c>
      <c r="O7" s="9"/>
      <c r="P7" s="10"/>
      <c r="Q7" s="10" t="s">
        <v>107</v>
      </c>
      <c r="R7" s="10" t="s">
        <v>108</v>
      </c>
      <c r="S7" s="10" t="s">
        <v>109</v>
      </c>
      <c r="T7" s="10" t="s">
        <v>110</v>
      </c>
      <c r="U7" s="10" t="s">
        <v>111</v>
      </c>
      <c r="V7" s="10" t="s">
        <v>112</v>
      </c>
      <c r="W7" s="10" t="s">
        <v>113</v>
      </c>
      <c r="X7" s="10" t="s">
        <v>114</v>
      </c>
      <c r="Y7" s="10" t="s">
        <v>115</v>
      </c>
      <c r="Z7" s="10" t="s">
        <v>116</v>
      </c>
      <c r="AA7" s="10" t="s">
        <v>117</v>
      </c>
      <c r="AB7" s="10" t="s">
        <v>118</v>
      </c>
      <c r="AC7" s="10" t="s">
        <v>119</v>
      </c>
      <c r="AD7" s="10" t="s">
        <v>40</v>
      </c>
      <c r="AE7" s="10" t="s">
        <v>120</v>
      </c>
      <c r="AF7" s="10" t="s">
        <v>120</v>
      </c>
      <c r="AG7" s="10" t="s">
        <v>43</v>
      </c>
      <c r="AH7" s="10" t="s">
        <v>43</v>
      </c>
      <c r="AI7" s="10" t="s">
        <v>43</v>
      </c>
      <c r="AJ7" s="10" t="s">
        <v>43</v>
      </c>
      <c r="AK7" s="10" t="s">
        <v>43</v>
      </c>
      <c r="AL7" s="10" t="s">
        <v>43</v>
      </c>
      <c r="AM7" s="10" t="s">
        <v>43</v>
      </c>
      <c r="AN7" s="10" t="s">
        <v>43</v>
      </c>
      <c r="AO7" s="10" t="s">
        <v>43</v>
      </c>
      <c r="AP7" s="10" t="s">
        <v>43</v>
      </c>
      <c r="AQ7" s="10" t="s">
        <v>43</v>
      </c>
      <c r="AR7" s="10" t="s">
        <v>43</v>
      </c>
      <c r="AS7" s="10" t="s">
        <v>73</v>
      </c>
      <c r="AT7" s="10" t="s">
        <v>43</v>
      </c>
      <c r="AU7" s="10" t="s">
        <v>73</v>
      </c>
      <c r="AV7" s="10" t="s">
        <v>73</v>
      </c>
    </row>
    <row r="8" customFormat="false" ht="36.5" hidden="false" customHeight="false" outlineLevel="0" collapsed="false">
      <c r="A8" s="5" t="n">
        <v>60</v>
      </c>
      <c r="B8" s="6" t="s">
        <v>121</v>
      </c>
      <c r="C8" s="6" t="s">
        <v>17</v>
      </c>
      <c r="D8" s="6" t="s">
        <v>18</v>
      </c>
      <c r="E8" s="6" t="s">
        <v>19</v>
      </c>
      <c r="F8" s="6" t="s">
        <v>20</v>
      </c>
      <c r="G8" s="6" t="s">
        <v>21</v>
      </c>
      <c r="H8" s="6" t="s">
        <v>22</v>
      </c>
      <c r="I8" s="6" t="s">
        <v>23</v>
      </c>
      <c r="J8" s="7" t="n">
        <v>68.5</v>
      </c>
      <c r="K8" s="6" t="s">
        <v>106</v>
      </c>
      <c r="L8" s="8" t="n">
        <v>0.95</v>
      </c>
      <c r="M8" s="5"/>
      <c r="N8" s="6" t="s">
        <v>25</v>
      </c>
      <c r="O8" s="5"/>
      <c r="P8" s="6"/>
      <c r="Q8" s="6" t="s">
        <v>122</v>
      </c>
      <c r="R8" s="6" t="s">
        <v>123</v>
      </c>
      <c r="S8" s="6" t="s">
        <v>124</v>
      </c>
      <c r="T8" s="6" t="s">
        <v>125</v>
      </c>
      <c r="U8" s="6" t="s">
        <v>126</v>
      </c>
      <c r="V8" s="6" t="s">
        <v>127</v>
      </c>
      <c r="W8" s="6" t="s">
        <v>128</v>
      </c>
      <c r="X8" s="6" t="s">
        <v>129</v>
      </c>
      <c r="Y8" s="6" t="s">
        <v>130</v>
      </c>
      <c r="Z8" s="6" t="s">
        <v>131</v>
      </c>
      <c r="AA8" s="6" t="s">
        <v>132</v>
      </c>
      <c r="AB8" s="6" t="s">
        <v>133</v>
      </c>
      <c r="AC8" s="6" t="s">
        <v>134</v>
      </c>
      <c r="AD8" s="6" t="s">
        <v>40</v>
      </c>
      <c r="AE8" s="6" t="s">
        <v>135</v>
      </c>
      <c r="AF8" s="6" t="s">
        <v>135</v>
      </c>
      <c r="AG8" s="6" t="s">
        <v>43</v>
      </c>
      <c r="AH8" s="6" t="s">
        <v>43</v>
      </c>
      <c r="AI8" s="6" t="s">
        <v>43</v>
      </c>
      <c r="AJ8" s="6" t="s">
        <v>43</v>
      </c>
      <c r="AK8" s="6" t="s">
        <v>43</v>
      </c>
      <c r="AL8" s="6" t="s">
        <v>43</v>
      </c>
      <c r="AM8" s="6" t="s">
        <v>43</v>
      </c>
      <c r="AN8" s="6" t="s">
        <v>43</v>
      </c>
      <c r="AO8" s="6" t="s">
        <v>43</v>
      </c>
      <c r="AP8" s="6" t="s">
        <v>43</v>
      </c>
      <c r="AQ8" s="6" t="s">
        <v>43</v>
      </c>
      <c r="AR8" s="6" t="s">
        <v>43</v>
      </c>
      <c r="AS8" s="6" t="s">
        <v>73</v>
      </c>
      <c r="AT8" s="6" t="s">
        <v>43</v>
      </c>
      <c r="AU8" s="6" t="s">
        <v>73</v>
      </c>
      <c r="AV8" s="6" t="s">
        <v>73</v>
      </c>
    </row>
    <row r="9" customFormat="false" ht="36.5" hidden="false" customHeight="false" outlineLevel="0" collapsed="false">
      <c r="A9" s="9" t="n">
        <v>82</v>
      </c>
      <c r="B9" s="10" t="s">
        <v>136</v>
      </c>
      <c r="C9" s="10" t="s">
        <v>17</v>
      </c>
      <c r="D9" s="10" t="s">
        <v>18</v>
      </c>
      <c r="E9" s="10" t="s">
        <v>19</v>
      </c>
      <c r="F9" s="10" t="s">
        <v>20</v>
      </c>
      <c r="G9" s="10" t="s">
        <v>21</v>
      </c>
      <c r="H9" s="10" t="s">
        <v>22</v>
      </c>
      <c r="I9" s="10" t="s">
        <v>23</v>
      </c>
      <c r="J9" s="11" t="n">
        <v>90</v>
      </c>
      <c r="K9" s="10" t="s">
        <v>137</v>
      </c>
      <c r="L9" s="12" t="n">
        <v>1.1</v>
      </c>
      <c r="M9" s="9"/>
      <c r="N9" s="10" t="s">
        <v>25</v>
      </c>
      <c r="O9" s="9"/>
      <c r="P9" s="10"/>
      <c r="Q9" s="10" t="s">
        <v>138</v>
      </c>
      <c r="R9" s="10" t="s">
        <v>139</v>
      </c>
      <c r="S9" s="10" t="s">
        <v>140</v>
      </c>
      <c r="T9" s="10" t="s">
        <v>141</v>
      </c>
      <c r="U9" s="10" t="s">
        <v>142</v>
      </c>
      <c r="V9" s="10" t="s">
        <v>143</v>
      </c>
      <c r="W9" s="10" t="s">
        <v>144</v>
      </c>
      <c r="X9" s="10" t="s">
        <v>145</v>
      </c>
      <c r="Y9" s="10" t="s">
        <v>146</v>
      </c>
      <c r="Z9" s="10" t="s">
        <v>147</v>
      </c>
      <c r="AA9" s="10" t="s">
        <v>148</v>
      </c>
      <c r="AB9" s="10" t="s">
        <v>149</v>
      </c>
      <c r="AC9" s="10" t="s">
        <v>150</v>
      </c>
      <c r="AD9" s="10" t="s">
        <v>40</v>
      </c>
      <c r="AE9" s="10" t="s">
        <v>151</v>
      </c>
      <c r="AF9" s="10" t="s">
        <v>151</v>
      </c>
      <c r="AG9" s="10" t="s">
        <v>43</v>
      </c>
      <c r="AH9" s="10" t="s">
        <v>43</v>
      </c>
      <c r="AI9" s="10" t="s">
        <v>43</v>
      </c>
      <c r="AJ9" s="10" t="s">
        <v>43</v>
      </c>
      <c r="AK9" s="10" t="s">
        <v>43</v>
      </c>
      <c r="AL9" s="10" t="s">
        <v>43</v>
      </c>
      <c r="AM9" s="10" t="s">
        <v>43</v>
      </c>
      <c r="AN9" s="10" t="s">
        <v>43</v>
      </c>
      <c r="AO9" s="10" t="s">
        <v>43</v>
      </c>
      <c r="AP9" s="10" t="s">
        <v>43</v>
      </c>
      <c r="AQ9" s="10" t="s">
        <v>43</v>
      </c>
      <c r="AR9" s="10" t="s">
        <v>43</v>
      </c>
      <c r="AS9" s="10" t="s">
        <v>73</v>
      </c>
      <c r="AT9" s="10" t="s">
        <v>43</v>
      </c>
      <c r="AU9" s="10" t="s">
        <v>73</v>
      </c>
      <c r="AV9" s="10" t="s">
        <v>73</v>
      </c>
    </row>
  </sheetData>
  <conditionalFormatting sqref="AG2:AV9">
    <cfRule type="expression" priority="2" aboveAverage="0" equalAverage="0" bottom="0" percent="0" rank="0" text="" dxfId="8">
      <formula>AG2="NS"</formula>
    </cfRule>
    <cfRule type="expression" priority="3" aboveAverage="0" equalAverage="0" bottom="0" percent="0" rank="0" text="" dxfId="9">
      <formula>AG2="RENSEIGNE"</formula>
    </cfRule>
    <cfRule type="expression" priority="4" aboveAverage="0" equalAverage="0" bottom="0" percent="0" rank="0" text="" dxfId="10">
      <formula>AG2="[HYP]"</formula>
    </cfRule>
  </conditionalFormatting>
  <dataValidations count="1">
    <dataValidation allowBlank="false" errorStyle="stop" operator="between" showDropDown="false" showErrorMessage="false" showInputMessage="false" sqref="AG2:AV9" type="list">
      <formula1>"RENSEIGNE,NS,[HYP]"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>Younes Arouk</cp:lastModifiedBy>
  <dcterms:modified xsi:type="dcterms:W3CDTF">2026-10-11T19:45:38Z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